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R:\$Industry\MJ\Memory\NAND Memory Demand Calculator\"/>
    </mc:Choice>
  </mc:AlternateContent>
  <xr:revisionPtr revIDLastSave="0" documentId="13_ncr:1_{30383228-FBD4-462D-A75A-2D7939387A11}" xr6:coauthVersionLast="47" xr6:coauthVersionMax="47" xr10:uidLastSave="{00000000-0000-0000-0000-000000000000}"/>
  <bookViews>
    <workbookView xWindow="-105" yWindow="0" windowWidth="29010" windowHeight="23385" activeTab="1" xr2:uid="{48314624-7F78-4FEB-BC6E-0A35B407CFAD}"/>
  </bookViews>
  <sheets>
    <sheet name="Inputs" sheetId="1" r:id="rId1"/>
    <sheet name="Tier Breakdown" sheetId="2" r:id="rId2"/>
    <sheet name="Frank Inputs" sheetId="5" r:id="rId3"/>
    <sheet name="Sensitivity_Input_Length" sheetId="3" r:id="rId4"/>
    <sheet name="Global S_D" sheetId="4" r:id="rId5"/>
    <sheet name="Global S_D (incl. Agentic)" sheetId="6" r:id="rId6"/>
  </sheets>
  <definedNames>
    <definedName name="Linking_1">Inputs!$B$3:$E$52</definedName>
    <definedName name="Linking_2">'Tier Breakdown'!$B$6:$P$62</definedName>
    <definedName name="Linking_3" localSheetId="5">'Global S_D (incl. Agentic)'!$B$16:$F$23</definedName>
    <definedName name="Linking_3">'Global S_D'!$B$16:$F$23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2" l="1"/>
  <c r="J66" i="2"/>
  <c r="K66" i="2"/>
  <c r="E4" i="1" l="1"/>
  <c r="F4" i="1" s="1"/>
  <c r="F2" i="1"/>
  <c r="H4" i="1"/>
  <c r="E6" i="1" l="1"/>
  <c r="E43" i="1" s="1"/>
  <c r="F6" i="1"/>
  <c r="F43" i="1" s="1"/>
  <c r="E9" i="1" l="1"/>
  <c r="F9" i="1"/>
  <c r="E11" i="2" s="1"/>
  <c r="J11" i="2" s="1"/>
  <c r="G70" i="1"/>
  <c r="E77" i="1"/>
  <c r="E78" i="1" s="1"/>
  <c r="F77" i="1"/>
  <c r="F78" i="1" s="1"/>
  <c r="J23" i="6"/>
  <c r="N23" i="6" s="1"/>
  <c r="I23" i="6"/>
  <c r="M23" i="6" s="1"/>
  <c r="H23" i="6"/>
  <c r="M22" i="6"/>
  <c r="J22" i="6"/>
  <c r="N22" i="6" s="1"/>
  <c r="I22" i="6"/>
  <c r="H22" i="6"/>
  <c r="J21" i="6"/>
  <c r="N21" i="6" s="1"/>
  <c r="I21" i="6"/>
  <c r="M21" i="6" s="1"/>
  <c r="H21" i="6"/>
  <c r="N20" i="6"/>
  <c r="J20" i="6"/>
  <c r="I20" i="6"/>
  <c r="M20" i="6" s="1"/>
  <c r="H20" i="6"/>
  <c r="J19" i="6"/>
  <c r="N19" i="6" s="1"/>
  <c r="I19" i="6"/>
  <c r="M19" i="6" s="1"/>
  <c r="H19" i="6"/>
  <c r="J18" i="6"/>
  <c r="N18" i="6" s="1"/>
  <c r="I18" i="6"/>
  <c r="M18" i="6" s="1"/>
  <c r="H18" i="6"/>
  <c r="N17" i="6"/>
  <c r="M17" i="6"/>
  <c r="J17" i="6"/>
  <c r="I17" i="6"/>
  <c r="H17" i="6"/>
  <c r="J23" i="4"/>
  <c r="N23" i="4" s="1"/>
  <c r="I23" i="4"/>
  <c r="M23" i="4" s="1"/>
  <c r="H23" i="4"/>
  <c r="N22" i="4"/>
  <c r="M22" i="4"/>
  <c r="J22" i="4"/>
  <c r="I22" i="4"/>
  <c r="H22" i="4"/>
  <c r="J21" i="4"/>
  <c r="N21" i="4" s="1"/>
  <c r="I21" i="4"/>
  <c r="M21" i="4" s="1"/>
  <c r="H21" i="4"/>
  <c r="N20" i="4"/>
  <c r="J20" i="4"/>
  <c r="I20" i="4"/>
  <c r="M20" i="4" s="1"/>
  <c r="H20" i="4"/>
  <c r="M19" i="4"/>
  <c r="J19" i="4"/>
  <c r="N19" i="4" s="1"/>
  <c r="I19" i="4"/>
  <c r="H19" i="4"/>
  <c r="J18" i="4"/>
  <c r="N18" i="4" s="1"/>
  <c r="I18" i="4"/>
  <c r="M18" i="4" s="1"/>
  <c r="H18" i="4"/>
  <c r="N17" i="4"/>
  <c r="M17" i="4"/>
  <c r="J17" i="4"/>
  <c r="I17" i="4"/>
  <c r="H17" i="4"/>
  <c r="D8" i="5"/>
  <c r="D11" i="5" s="1"/>
  <c r="D6" i="5"/>
  <c r="D7" i="5" s="1"/>
  <c r="J70" i="2"/>
  <c r="I70" i="2"/>
  <c r="K68" i="2"/>
  <c r="J68" i="2" s="1"/>
  <c r="E39" i="2"/>
  <c r="D39" i="2"/>
  <c r="E38" i="2"/>
  <c r="D38" i="2"/>
  <c r="E37" i="2"/>
  <c r="D37" i="2"/>
  <c r="E36" i="2"/>
  <c r="D36" i="2"/>
  <c r="E35" i="2"/>
  <c r="D35" i="2"/>
  <c r="E32" i="2"/>
  <c r="J32" i="2" s="1"/>
  <c r="D32" i="2"/>
  <c r="I32" i="2" s="1"/>
  <c r="E27" i="2"/>
  <c r="D27" i="2"/>
  <c r="C25" i="2"/>
  <c r="E23" i="2"/>
  <c r="D23" i="2"/>
  <c r="E22" i="2"/>
  <c r="D22" i="2"/>
  <c r="E20" i="2"/>
  <c r="D20" i="2"/>
  <c r="E19" i="2"/>
  <c r="D19" i="2"/>
  <c r="C18" i="2"/>
  <c r="C17" i="2"/>
  <c r="D15" i="2"/>
  <c r="I15" i="2" s="1"/>
  <c r="D14" i="2"/>
  <c r="D11" i="2"/>
  <c r="I11" i="2" s="1"/>
  <c r="C11" i="2"/>
  <c r="E9" i="2"/>
  <c r="J9" i="2" s="1"/>
  <c r="C9" i="2"/>
  <c r="E8" i="2"/>
  <c r="J8" i="2" s="1"/>
  <c r="C8" i="2"/>
  <c r="E7" i="2"/>
  <c r="D7" i="2"/>
  <c r="I7" i="2" s="1"/>
  <c r="C7" i="2"/>
  <c r="F80" i="1"/>
  <c r="E80" i="1"/>
  <c r="F79" i="1"/>
  <c r="E41" i="2" s="1"/>
  <c r="E79" i="1"/>
  <c r="D41" i="2" s="1"/>
  <c r="G76" i="1"/>
  <c r="G75" i="1"/>
  <c r="G74" i="1"/>
  <c r="G73" i="1"/>
  <c r="G72" i="1"/>
  <c r="G71" i="1"/>
  <c r="G69" i="1"/>
  <c r="G68" i="1"/>
  <c r="G67" i="1"/>
  <c r="G4" i="1"/>
  <c r="G66" i="1"/>
  <c r="F63" i="1"/>
  <c r="F64" i="1" s="1"/>
  <c r="E63" i="1"/>
  <c r="E64" i="1" s="1"/>
  <c r="G62" i="1"/>
  <c r="G61" i="1"/>
  <c r="G60" i="1"/>
  <c r="G59" i="1"/>
  <c r="G58" i="1"/>
  <c r="G57" i="1"/>
  <c r="F53" i="1"/>
  <c r="E53" i="1"/>
  <c r="E54" i="1" s="1"/>
  <c r="F50" i="1"/>
  <c r="E52" i="2" s="1"/>
  <c r="J52" i="2" s="1"/>
  <c r="E50" i="1"/>
  <c r="N52" i="2" s="1"/>
  <c r="G48" i="1"/>
  <c r="G47" i="1"/>
  <c r="G45" i="1"/>
  <c r="F44" i="1"/>
  <c r="E44" i="1"/>
  <c r="D31" i="2" s="1"/>
  <c r="G43" i="1"/>
  <c r="F40" i="1"/>
  <c r="E40" i="1"/>
  <c r="G41" i="1"/>
  <c r="G39" i="1"/>
  <c r="G36" i="1"/>
  <c r="G35" i="1"/>
  <c r="G34" i="1"/>
  <c r="G30" i="1"/>
  <c r="G29" i="1"/>
  <c r="G28" i="1"/>
  <c r="G25" i="1"/>
  <c r="G24" i="1"/>
  <c r="F23" i="1"/>
  <c r="E24" i="2" s="1"/>
  <c r="E23" i="1"/>
  <c r="E26" i="1" s="1"/>
  <c r="G22" i="1"/>
  <c r="G21" i="1"/>
  <c r="G20" i="1"/>
  <c r="G19" i="1"/>
  <c r="E18" i="1"/>
  <c r="E49" i="1" s="1"/>
  <c r="D55" i="2" s="1"/>
  <c r="F17" i="1"/>
  <c r="E15" i="2" s="1"/>
  <c r="F13" i="1"/>
  <c r="E12" i="1"/>
  <c r="G12" i="1" s="1"/>
  <c r="E11" i="1"/>
  <c r="G10" i="1"/>
  <c r="G9" i="1" l="1"/>
  <c r="F16" i="1"/>
  <c r="G16" i="1" s="1"/>
  <c r="F15" i="1"/>
  <c r="E10" i="2"/>
  <c r="E12" i="2" s="1"/>
  <c r="G40" i="1"/>
  <c r="E65" i="1"/>
  <c r="D53" i="2" s="1"/>
  <c r="I53" i="2" s="1"/>
  <c r="E14" i="2"/>
  <c r="E16" i="2" s="1"/>
  <c r="J16" i="2" s="1"/>
  <c r="G53" i="1"/>
  <c r="F26" i="1"/>
  <c r="E17" i="2" s="1"/>
  <c r="J17" i="2" s="1"/>
  <c r="F14" i="1"/>
  <c r="F37" i="1" s="1"/>
  <c r="F38" i="1" s="1"/>
  <c r="F7" i="2"/>
  <c r="G7" i="2" s="1"/>
  <c r="K11" i="2"/>
  <c r="E13" i="1"/>
  <c r="E15" i="1" s="1"/>
  <c r="D16" i="2"/>
  <c r="F81" i="1"/>
  <c r="E62" i="2" s="1"/>
  <c r="J62" i="2" s="1"/>
  <c r="F54" i="1"/>
  <c r="G54" i="1" s="1"/>
  <c r="D9" i="2"/>
  <c r="J7" i="2"/>
  <c r="K7" i="2" s="1"/>
  <c r="G63" i="1"/>
  <c r="G50" i="1"/>
  <c r="G80" i="1"/>
  <c r="G44" i="1"/>
  <c r="E52" i="1"/>
  <c r="O56" i="2" s="1"/>
  <c r="F11" i="2"/>
  <c r="G11" i="2" s="1"/>
  <c r="D24" i="2"/>
  <c r="E40" i="2"/>
  <c r="J40" i="2" s="1"/>
  <c r="D40" i="2"/>
  <c r="I40" i="2" s="1"/>
  <c r="G77" i="1"/>
  <c r="J10" i="2"/>
  <c r="D33" i="2"/>
  <c r="I31" i="2"/>
  <c r="I33" i="2" s="1"/>
  <c r="I41" i="2"/>
  <c r="F41" i="2"/>
  <c r="G41" i="2" s="1"/>
  <c r="D12" i="5"/>
  <c r="D10" i="5"/>
  <c r="J41" i="2"/>
  <c r="D17" i="2"/>
  <c r="E27" i="1"/>
  <c r="J15" i="2"/>
  <c r="K15" i="2" s="1"/>
  <c r="F15" i="2"/>
  <c r="G15" i="2" s="1"/>
  <c r="E81" i="1"/>
  <c r="D62" i="2" s="1"/>
  <c r="G78" i="1"/>
  <c r="I55" i="2"/>
  <c r="F65" i="1"/>
  <c r="F46" i="1"/>
  <c r="G64" i="1"/>
  <c r="G11" i="1"/>
  <c r="F52" i="1"/>
  <c r="I14" i="2"/>
  <c r="F32" i="2"/>
  <c r="K32" i="2" s="1"/>
  <c r="F18" i="1"/>
  <c r="G23" i="1"/>
  <c r="E46" i="1"/>
  <c r="E51" i="1" s="1"/>
  <c r="N53" i="2" s="1"/>
  <c r="G79" i="1"/>
  <c r="D52" i="2"/>
  <c r="D8" i="2"/>
  <c r="E31" i="2"/>
  <c r="F31" i="2" s="1"/>
  <c r="I68" i="2"/>
  <c r="G17" i="1"/>
  <c r="J14" i="2" l="1"/>
  <c r="F14" i="2"/>
  <c r="G14" i="2" s="1"/>
  <c r="G26" i="1"/>
  <c r="F27" i="1"/>
  <c r="E18" i="2" s="1"/>
  <c r="J18" i="2" s="1"/>
  <c r="D56" i="2"/>
  <c r="I56" i="2" s="1"/>
  <c r="K14" i="2"/>
  <c r="F16" i="2"/>
  <c r="G16" i="2" s="1"/>
  <c r="I16" i="2"/>
  <c r="K16" i="2" s="1"/>
  <c r="G13" i="1"/>
  <c r="G81" i="1"/>
  <c r="F9" i="2"/>
  <c r="G9" i="2" s="1"/>
  <c r="I9" i="2"/>
  <c r="K9" i="2" s="1"/>
  <c r="F40" i="2"/>
  <c r="G40" i="2" s="1"/>
  <c r="D42" i="2"/>
  <c r="I42" i="2" s="1"/>
  <c r="E42" i="2"/>
  <c r="J42" i="2" s="1"/>
  <c r="K31" i="2"/>
  <c r="F33" i="2"/>
  <c r="G15" i="1"/>
  <c r="E14" i="1"/>
  <c r="F62" i="2"/>
  <c r="G62" i="2" s="1"/>
  <c r="I62" i="2"/>
  <c r="K62" i="2" s="1"/>
  <c r="F51" i="1"/>
  <c r="G51" i="1" s="1"/>
  <c r="G46" i="1"/>
  <c r="E25" i="2"/>
  <c r="E26" i="2" s="1"/>
  <c r="J12" i="2"/>
  <c r="F8" i="2"/>
  <c r="G8" i="2" s="1"/>
  <c r="D10" i="2"/>
  <c r="I8" i="2"/>
  <c r="K8" i="2" s="1"/>
  <c r="G32" i="2"/>
  <c r="E31" i="1"/>
  <c r="E33" i="1"/>
  <c r="D47" i="2" s="1"/>
  <c r="D18" i="2"/>
  <c r="E32" i="1"/>
  <c r="D46" i="2" s="1"/>
  <c r="F49" i="1"/>
  <c r="G18" i="1"/>
  <c r="F17" i="2"/>
  <c r="G17" i="2" s="1"/>
  <c r="I17" i="2"/>
  <c r="K17" i="2" s="1"/>
  <c r="E33" i="2"/>
  <c r="J31" i="2"/>
  <c r="J33" i="2" s="1"/>
  <c r="G31" i="2"/>
  <c r="F56" i="1"/>
  <c r="F55" i="1"/>
  <c r="I52" i="2"/>
  <c r="K52" i="2" s="1"/>
  <c r="F52" i="2"/>
  <c r="G52" i="2" s="1"/>
  <c r="E56" i="2"/>
  <c r="J56" i="2" s="1"/>
  <c r="G52" i="1"/>
  <c r="G65" i="1"/>
  <c r="E53" i="2"/>
  <c r="K41" i="2"/>
  <c r="K40" i="2"/>
  <c r="F31" i="1" l="1"/>
  <c r="F33" i="1"/>
  <c r="G27" i="1"/>
  <c r="F32" i="1"/>
  <c r="G32" i="1" s="1"/>
  <c r="F42" i="2"/>
  <c r="G42" i="2" s="1"/>
  <c r="K42" i="2"/>
  <c r="I46" i="2"/>
  <c r="I18" i="2"/>
  <c r="K18" i="2" s="1"/>
  <c r="F18" i="2"/>
  <c r="G18" i="2" s="1"/>
  <c r="E28" i="2"/>
  <c r="J26" i="2"/>
  <c r="K56" i="2"/>
  <c r="I47" i="2"/>
  <c r="E46" i="2"/>
  <c r="F46" i="2" s="1"/>
  <c r="G46" i="2" s="1"/>
  <c r="G31" i="1"/>
  <c r="E45" i="2"/>
  <c r="F56" i="2"/>
  <c r="G56" i="2" s="1"/>
  <c r="N45" i="2"/>
  <c r="D45" i="2"/>
  <c r="E50" i="2"/>
  <c r="J50" i="2" s="1"/>
  <c r="G33" i="1"/>
  <c r="E47" i="2"/>
  <c r="J53" i="2"/>
  <c r="K53" i="2" s="1"/>
  <c r="F53" i="2"/>
  <c r="G53" i="2" s="1"/>
  <c r="E55" i="2"/>
  <c r="G49" i="1"/>
  <c r="G33" i="2"/>
  <c r="F10" i="2"/>
  <c r="G10" i="2" s="1"/>
  <c r="D12" i="2"/>
  <c r="I10" i="2"/>
  <c r="K10" i="2" s="1"/>
  <c r="E37" i="1"/>
  <c r="G14" i="1"/>
  <c r="K33" i="2"/>
  <c r="J28" i="2" l="1"/>
  <c r="E49" i="2"/>
  <c r="J49" i="2" s="1"/>
  <c r="E29" i="2"/>
  <c r="J29" i="2" s="1"/>
  <c r="E61" i="2"/>
  <c r="E63" i="2" s="1"/>
  <c r="J47" i="2"/>
  <c r="F47" i="2"/>
  <c r="G47" i="2" s="1"/>
  <c r="F12" i="2"/>
  <c r="G12" i="2" s="1"/>
  <c r="D25" i="2"/>
  <c r="D26" i="2" s="1"/>
  <c r="I12" i="2"/>
  <c r="K12" i="2" s="1"/>
  <c r="E58" i="2"/>
  <c r="J58" i="2" s="1"/>
  <c r="J45" i="2"/>
  <c r="J55" i="2"/>
  <c r="K55" i="2" s="1"/>
  <c r="F55" i="2"/>
  <c r="G55" i="2" s="1"/>
  <c r="E59" i="2"/>
  <c r="J59" i="2" s="1"/>
  <c r="J46" i="2"/>
  <c r="K46" i="2" s="1"/>
  <c r="K47" i="2"/>
  <c r="D58" i="2"/>
  <c r="I45" i="2"/>
  <c r="F45" i="2"/>
  <c r="G45" i="2" s="1"/>
  <c r="E38" i="1"/>
  <c r="G37" i="1"/>
  <c r="K45" i="2" l="1"/>
  <c r="D28" i="2"/>
  <c r="D49" i="2" s="1"/>
  <c r="F26" i="2"/>
  <c r="G26" i="2" s="1"/>
  <c r="I26" i="2"/>
  <c r="K26" i="2" s="1"/>
  <c r="J61" i="2"/>
  <c r="J63" i="2" s="1"/>
  <c r="F58" i="2"/>
  <c r="G58" i="2" s="1"/>
  <c r="I58" i="2"/>
  <c r="E56" i="1"/>
  <c r="O50" i="2"/>
  <c r="E55" i="1"/>
  <c r="G38" i="1"/>
  <c r="K58" i="2" l="1"/>
  <c r="D10" i="6"/>
  <c r="E10" i="6" s="1"/>
  <c r="D10" i="4"/>
  <c r="E10" i="4" s="1"/>
  <c r="F28" i="2"/>
  <c r="G28" i="2" s="1"/>
  <c r="I28" i="2"/>
  <c r="K28" i="2" s="1"/>
  <c r="G55" i="1"/>
  <c r="D50" i="2"/>
  <c r="G56" i="1"/>
  <c r="D29" i="2"/>
  <c r="I49" i="2" l="1"/>
  <c r="K49" i="2" s="1"/>
  <c r="F49" i="2"/>
  <c r="G49" i="2" s="1"/>
  <c r="D59" i="2"/>
  <c r="J71" i="2"/>
  <c r="J69" i="2"/>
  <c r="F29" i="2"/>
  <c r="G29" i="2" s="1"/>
  <c r="I29" i="2"/>
  <c r="K29" i="2" s="1"/>
  <c r="I50" i="2"/>
  <c r="K50" i="2" s="1"/>
  <c r="F50" i="2"/>
  <c r="G50" i="2" s="1"/>
  <c r="D61" i="2"/>
  <c r="D63" i="2" s="1"/>
  <c r="F59" i="2" l="1"/>
  <c r="G59" i="2" s="1"/>
  <c r="I59" i="2"/>
  <c r="K59" i="2" s="1"/>
  <c r="F61" i="2"/>
  <c r="G61" i="2" s="1"/>
  <c r="I61" i="2"/>
  <c r="K61" i="2" l="1"/>
  <c r="K63" i="2" s="1"/>
  <c r="I63" i="2"/>
  <c r="D12" i="6"/>
  <c r="E12" i="6" s="1"/>
  <c r="D12" i="4"/>
  <c r="E12" i="4" s="1"/>
  <c r="D11" i="4"/>
  <c r="E11" i="4" s="1"/>
  <c r="D11" i="6"/>
  <c r="E11" i="6" s="1"/>
  <c r="F63" i="2" l="1"/>
  <c r="G63" i="2"/>
  <c r="I71" i="2" l="1"/>
  <c r="I69" i="2"/>
  <c r="K71" i="2" l="1"/>
  <c r="K69" i="2"/>
</calcChain>
</file>

<file path=xl/sharedStrings.xml><?xml version="1.0" encoding="utf-8"?>
<sst xmlns="http://schemas.openxmlformats.org/spreadsheetml/2006/main" count="438" uniqueCount="236">
  <si>
    <t>Assumptions (blue = inputs, black = derived)</t>
  </si>
  <si>
    <t>Category</t>
  </si>
  <si>
    <t>Assumption</t>
  </si>
  <si>
    <t>Units / Notes</t>
  </si>
  <si>
    <t>Demand</t>
  </si>
  <si>
    <t>Peak QPS</t>
  </si>
  <si>
    <t>req/s</t>
  </si>
  <si>
    <t>Input tokens / request</t>
  </si>
  <si>
    <t>tokens</t>
  </si>
  <si>
    <t>RAG tokens / request</t>
  </si>
  <si>
    <t>RAG/Input 2:1 (in practice 2:1 - 10:1)</t>
  </si>
  <si>
    <t>Output tokens / request</t>
  </si>
  <si>
    <t>Input/output 3:1</t>
  </si>
  <si>
    <t>Total tokens / request</t>
  </si>
  <si>
    <t>Peak-day tokens processed</t>
  </si>
  <si>
    <t>tokens/day (given)</t>
  </si>
  <si>
    <t>Peak-day tokens processed (from QPS)</t>
  </si>
  <si>
    <t>tokens/day (QPS × tokens/req × 86400)</t>
  </si>
  <si>
    <t>Active prefill sequences</t>
  </si>
  <si>
    <t>Peak QPS: 300,000 req/s; TTFT: 1.0 s</t>
  </si>
  <si>
    <t>Active decode sequences</t>
  </si>
  <si>
    <t>Decode speed: 60 tokens/sec/request</t>
  </si>
  <si>
    <t>Active total sequences</t>
  </si>
  <si>
    <t>given</t>
  </si>
  <si>
    <t>KV</t>
  </si>
  <si>
    <t>KV precision (bytes/elem)</t>
  </si>
  <si>
    <t>FP16 KV =&gt; 2 bytes</t>
  </si>
  <si>
    <t>Layers (L)</t>
  </si>
  <si>
    <t>KV heads (Hkv)</t>
  </si>
  <si>
    <t>Head dim (Dhead)</t>
  </si>
  <si>
    <t>KV bytes / token</t>
  </si>
  <si>
    <t>bytes (formula: 2*L*Hkv*Dhead*bytes/elem)</t>
  </si>
  <si>
    <t>KV bytes / token (given)</t>
  </si>
  <si>
    <t>bytes (384 KiB)</t>
  </si>
  <si>
    <t>Effective live window</t>
  </si>
  <si>
    <t>Live KV / sequence</t>
  </si>
  <si>
    <t>bytes (KV bytes/token × live window)</t>
  </si>
  <si>
    <t>Live KV total (all active seqs)</t>
  </si>
  <si>
    <t>bytes</t>
  </si>
  <si>
    <t>KV Split (Live)</t>
  </si>
  <si>
    <t>HBM fraction</t>
  </si>
  <si>
    <t>DRAM fraction</t>
  </si>
  <si>
    <t>Rack SSD fraction</t>
  </si>
  <si>
    <t>HBM live KV</t>
  </si>
  <si>
    <t>DRAM live KV</t>
  </si>
  <si>
    <t>Rack SSD live KV</t>
  </si>
  <si>
    <t>KV Reuse Cache</t>
  </si>
  <si>
    <t>Retention window</t>
  </si>
  <si>
    <t>hours</t>
  </si>
  <si>
    <t>Reuse fraction of processed tokens</t>
  </si>
  <si>
    <t>50%</t>
  </si>
  <si>
    <t>Stored in tier</t>
  </si>
  <si>
    <t>Tokens in retention window</t>
  </si>
  <si>
    <t>tokens (peak-day × retention/24h)</t>
  </si>
  <si>
    <t>Retained KV bytes</t>
  </si>
  <si>
    <t>bytes (tokens × reuse% × KV bytes/token)</t>
  </si>
  <si>
    <t>Topology</t>
  </si>
  <si>
    <t>Sequences per replica</t>
  </si>
  <si>
    <t>per 8-GPU replica</t>
  </si>
  <si>
    <t>GPUs per replica</t>
  </si>
  <si>
    <t>Replicas</t>
  </si>
  <si>
    <t>GPUs</t>
  </si>
  <si>
    <t>total GPUs</t>
  </si>
  <si>
    <t>Nodes</t>
  </si>
  <si>
    <t>8 GPUs/node (given)</t>
  </si>
  <si>
    <t>HBM</t>
  </si>
  <si>
    <t>GPU overhead (workspace+runtime+side models)</t>
  </si>
  <si>
    <t>GiB per GPU (given as included)</t>
  </si>
  <si>
    <t>Pinned active MoE weights</t>
  </si>
  <si>
    <t>GiB per GPU (derived from active MoE weights)</t>
  </si>
  <si>
    <t>DRAM</t>
  </si>
  <si>
    <t>Host buffers/state per sequence</t>
  </si>
  <si>
    <t>bytes per seq (~160 KiB default)</t>
  </si>
  <si>
    <t>Rack SSD</t>
  </si>
  <si>
    <t>Local Rack SSD caches/logs</t>
  </si>
  <si>
    <t>TB (decimal) per node</t>
  </si>
  <si>
    <t>Host buffers/state total</t>
  </si>
  <si>
    <t>bytes (per seq × active sequences)</t>
  </si>
  <si>
    <t>GPU overhead total</t>
  </si>
  <si>
    <t>bytes (GiB/GPU × GPUs)</t>
  </si>
  <si>
    <t>Pinned MoE weights total</t>
  </si>
  <si>
    <t>Local Rack SSD caches/logs total</t>
  </si>
  <si>
    <t>bytes (TB/node × nodes)</t>
  </si>
  <si>
    <t>Retained KV in DRAM fraction</t>
  </si>
  <si>
    <t>assumption</t>
  </si>
  <si>
    <t>Retained KV in Rack SSD fraction</t>
  </si>
  <si>
    <t>Retained KV in DRAM (bytes)</t>
  </si>
  <si>
    <t>Retained KV in Rack SSD (bytes)</t>
  </si>
  <si>
    <t>HBM Weights (MoE)</t>
  </si>
  <si>
    <t>Total params (MoE model)</t>
  </si>
  <si>
    <t>Dense/backbone fraction</t>
  </si>
  <si>
    <t>Expert fraction</t>
  </si>
  <si>
    <t>Experts per MoE layer</t>
  </si>
  <si>
    <t>Active experts (top-k)</t>
  </si>
  <si>
    <t>Weight precision (bytes/param)</t>
  </si>
  <si>
    <t>FP16 weights (2B)</t>
  </si>
  <si>
    <t>Active params (dense + active experts)</t>
  </si>
  <si>
    <t>params</t>
  </si>
  <si>
    <t>Active expert weights per replica (bytes)</t>
  </si>
  <si>
    <t>Active expert weights fleet total (bytes)</t>
  </si>
  <si>
    <t>Datalake (NAND)</t>
  </si>
  <si>
    <t>WAU (weekly active users)</t>
  </si>
  <si>
    <t>user-provided</t>
  </si>
  <si>
    <t>Avg RAG raw upload per user per week (GB)</t>
  </si>
  <si>
    <t>Embedding+index inflation vs raw (x)</t>
  </si>
  <si>
    <t>Include raw data alongside embeddings (x)</t>
  </si>
  <si>
    <t>raw copy kept</t>
  </si>
  <si>
    <t>Retention window (months)</t>
  </si>
  <si>
    <t>annual</t>
  </si>
  <si>
    <t>Physical capacity multiplier (replication+EC+overhead+free space)</t>
  </si>
  <si>
    <t>Logs ingested per day (TB)</t>
  </si>
  <si>
    <t>edit as needed</t>
  </si>
  <si>
    <t>Logs retention (days)</t>
  </si>
  <si>
    <t>Logs replication factor</t>
  </si>
  <si>
    <t>Central caches (TB total, logical)</t>
  </si>
  <si>
    <t>optional</t>
  </si>
  <si>
    <t>Central caches replication factor</t>
  </si>
  <si>
    <t>RAG logical bytes (raw+embeddings+index)</t>
  </si>
  <si>
    <t>bytes (WAU × GB/week × (emb+raw mult) × retention weeks)</t>
  </si>
  <si>
    <t>RAG physical bytes (after multiplier)</t>
  </si>
  <si>
    <t>Logs logical bytes</t>
  </si>
  <si>
    <t>Central caches physical bytes</t>
  </si>
  <si>
    <t>Datalake TOTAL bytes (RAG+logs+caches)</t>
  </si>
  <si>
    <t>Tier</t>
  </si>
  <si>
    <t>Component</t>
  </si>
  <si>
    <t>Total (TiB)</t>
  </si>
  <si>
    <t>Total (PiB)</t>
  </si>
  <si>
    <t>Total (EiB)</t>
  </si>
  <si>
    <t>Per GPU (GiB)</t>
  </si>
  <si>
    <t>Per Node (TB dec)</t>
  </si>
  <si>
    <t>Live KV (hot)</t>
  </si>
  <si>
    <t>Live KV (warm)</t>
  </si>
  <si>
    <t>Live KV (offload)</t>
  </si>
  <si>
    <t>KV reuse cache (24h, 50%)</t>
  </si>
  <si>
    <t>GPU overheads</t>
  </si>
  <si>
    <t>Weights on active experts (top-2/128)</t>
  </si>
  <si>
    <t>Host buffers/state</t>
  </si>
  <si>
    <t>Total</t>
  </si>
  <si>
    <t>Datalake</t>
  </si>
  <si>
    <t>RAG + logs + caches (central)</t>
  </si>
  <si>
    <t>HBM TOTAL (TB)</t>
  </si>
  <si>
    <t>DRAM TOTAL (TB)</t>
  </si>
  <si>
    <t>Rack SSD TOTAL (TB)</t>
  </si>
  <si>
    <t>Datalake TOTAL (TB)</t>
  </si>
  <si>
    <t>Memory supply</t>
  </si>
  <si>
    <t>Unit</t>
  </si>
  <si>
    <t>mn GB</t>
  </si>
  <si>
    <t>DRAM (ex-HBM)</t>
  </si>
  <si>
    <t>NAND</t>
  </si>
  <si>
    <t>EB</t>
  </si>
  <si>
    <t xml:space="preserve"># of global models: </t>
  </si>
  <si>
    <t>AI Inference demand as % of 2026 supply</t>
  </si>
  <si>
    <t>Global demand</t>
  </si>
  <si>
    <t>as % of global supply</t>
  </si>
  <si>
    <t>HBM TOTAL (PB)</t>
  </si>
  <si>
    <t>DRAM TOTAL (PB)</t>
  </si>
  <si>
    <t>Rack SSD TOTAL (EB)</t>
  </si>
  <si>
    <t>Datalake TOTAL (EB)</t>
  </si>
  <si>
    <t>GQA</t>
  </si>
  <si>
    <t>40% DRAM / 60% Rack SSD</t>
  </si>
  <si>
    <t>Change Rationale</t>
  </si>
  <si>
    <t>Output</t>
  </si>
  <si>
    <t>Input</t>
  </si>
  <si>
    <t>Frank</t>
  </si>
  <si>
    <t>Queries per Day</t>
  </si>
  <si>
    <t>Messages</t>
  </si>
  <si>
    <t>% Input / Output</t>
  </si>
  <si>
    <t>% Rag</t>
  </si>
  <si>
    <t>Rag</t>
  </si>
  <si>
    <t>Layers (x) Complexity</t>
  </si>
  <si>
    <t>Effective Live Window</t>
  </si>
  <si>
    <t>Agentic Assumptions</t>
  </si>
  <si>
    <t>Agents require full codebase context, tool definitions, and conversation history to function, routinely filling 50-100K context windows.</t>
  </si>
  <si>
    <t>Agents retrieve entire files, multiple documentation sections, and perform multi-hop retrieval rather than fetching a few text chunks.</t>
  </si>
  <si>
    <t>Code files and reasoning outputs produce 30-50x internal tokens than visible output</t>
  </si>
  <si>
    <t>Developers upload entire codebases, documentation sets, and project histories rather than occasional documents.</t>
  </si>
  <si>
    <t>Code requires AST parsing, symbol indexing, and multi-representation embeddings (semantic + lexical) for effective retrieval.</t>
  </si>
  <si>
    <t>x</t>
  </si>
  <si>
    <t>Half. Fewer users but richer per session telemetry</t>
  </si>
  <si>
    <t>QPS</t>
  </si>
  <si>
    <t>Regular</t>
  </si>
  <si>
    <t>Agentic</t>
  </si>
  <si>
    <t>Total Tokens</t>
  </si>
  <si>
    <t>Multiple</t>
  </si>
  <si>
    <t>Agentic (EiB)</t>
  </si>
  <si>
    <t>Memo: 2026 Nand Bit Supply (JPM)</t>
  </si>
  <si>
    <t>Memo: 2026 Enterprise SSD Bit Supply (JPM)</t>
  </si>
  <si>
    <t>Memo: % 2026 Enterprise SSD Bit Supply (JPM)</t>
  </si>
  <si>
    <t>Memo: % 2026 Nand Bit Supply (JPM)</t>
  </si>
  <si>
    <t>Total NAND</t>
  </si>
  <si>
    <t>Active Prefill Sequences</t>
  </si>
  <si>
    <t>(+) Active Decode Sequences</t>
  </si>
  <si>
    <t>Active Total Sequences</t>
  </si>
  <si>
    <t>Units</t>
  </si>
  <si>
    <t>Bytes</t>
  </si>
  <si>
    <t>Non- Agentic Value</t>
  </si>
  <si>
    <t>Memo: HBM Fraction</t>
  </si>
  <si>
    <t>Memo: DRAM Fraction</t>
  </si>
  <si>
    <t>Total Tokens / request</t>
  </si>
  <si>
    <t>Peak-day Tokens Processed</t>
  </si>
  <si>
    <t>(x) Reuse Fraction of Processed Tokens</t>
  </si>
  <si>
    <t>(x) KV Bytes / token</t>
  </si>
  <si>
    <t>KV Retention Window (hours)</t>
  </si>
  <si>
    <t>Retained KV Bytes</t>
  </si>
  <si>
    <t>(x) DRAM Fraction</t>
  </si>
  <si>
    <t>KV reuse cache</t>
  </si>
  <si>
    <t>Total Agentic (bytes)</t>
  </si>
  <si>
    <t>Total Non Agentic (bytes)</t>
  </si>
  <si>
    <t>Non Agentic (EiB)</t>
  </si>
  <si>
    <t>(x) Local Rack SSD / Node</t>
  </si>
  <si>
    <t>Local Cache</t>
  </si>
  <si>
    <t>WAU</t>
  </si>
  <si>
    <t>Avg RAG Raw Upload</t>
  </si>
  <si>
    <t>Embedding + Index Inflation vs raw (x)</t>
  </si>
  <si>
    <t>Retention Window</t>
  </si>
  <si>
    <t>Capacity Multiplier (Replication+EC+Overhead)</t>
  </si>
  <si>
    <t>RAG Physical Bytes</t>
  </si>
  <si>
    <t>(+) Logs Logical Bytes</t>
  </si>
  <si>
    <t>Datalake Total Bytes</t>
  </si>
  <si>
    <t>Agentic as a % of Regular Users</t>
  </si>
  <si>
    <t>DAU/WAU</t>
  </si>
  <si>
    <t>%</t>
  </si>
  <si>
    <t>Daily Queries per user</t>
  </si>
  <si>
    <t>Peak to average ratio</t>
  </si>
  <si>
    <t>(x)</t>
  </si>
  <si>
    <t>Queries</t>
  </si>
  <si>
    <t>GPUs per 1M DAU</t>
  </si>
  <si>
    <t>DAU</t>
  </si>
  <si>
    <t>#</t>
  </si>
  <si>
    <t>Check this with Expert</t>
  </si>
  <si>
    <t>% of WAU Agentic</t>
  </si>
  <si>
    <t>Check this. 3,500 triangulation from OpenAI. Agentic estimate for massively increased compute+memory requirements, too conservative?</t>
  </si>
  <si>
    <t>Weekly Average Users (M)</t>
  </si>
  <si>
    <t>Overlap Multiplier (Users using multiple Agents)</t>
  </si>
  <si>
    <t>Memo: 2026 DRAM Bit Supply (JPM)</t>
  </si>
  <si>
    <t>Memo: % 2026 DRAM Bit Supply (JPM)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</si>
</sst>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0.0\x"/>
    <numFmt numFmtId="167" formatCode="0.00_);\(0.00\);\-\-_)"/>
    <numFmt numFmtId="168" formatCode="0.0%_)"/>
    <numFmt numFmtId="169" formatCode="#,##0_);\(#,##0\);\-\-_)"/>
    <numFmt numFmtId="170" formatCode="_(#,##0.0%_);\(#,##0.0%\);_(&quot;–&quot;_);_(@_)"/>
    <numFmt numFmtId="171" formatCode="_(0.0\x_);_(\(0.0\x\);_(&quot;–&quot;_);_(@_)"/>
    <numFmt numFmtId="172" formatCode="_(#,##0_);\(#,##0\);_(&quot;–&quot;_);_(@_)"/>
  </numFmts>
  <fonts count="2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FF"/>
      <name val="Times New Roman"/>
      <family val="1"/>
    </font>
    <font>
      <i/>
      <sz val="11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Calibri"/>
      <family val="2"/>
      <scheme val="minor"/>
    </font>
    <font>
      <b/>
      <i/>
      <sz val="11"/>
      <name val="Times New Roman"/>
      <family val="1"/>
    </font>
    <font>
      <b/>
      <sz val="11"/>
      <color rgb="FF0000FF"/>
      <name val="Calibri"/>
      <family val="2"/>
      <scheme val="minor"/>
    </font>
    <font>
      <b/>
      <sz val="11"/>
      <color rgb="FF0000FF"/>
      <name val="Times New Roman"/>
      <family val="1"/>
    </font>
    <font>
      <b/>
      <sz val="11"/>
      <color rgb="FF008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darkDown"/>
    </fill>
    <fill>
      <patternFill patternType="solid">
        <fgColor indexed="65"/>
        <bgColor indexed="64"/>
      </patternFill>
    </fill>
    <fill>
      <patternFill patternType="solid">
        <fgColor rgb="FFFFFF00"/>
        <bgColor rgb="FF000000"/>
      </patternFill>
    </fill>
  </fills>
  <borders count="21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n">
        <color indexed="64"/>
      </bottom>
      <diagonal/>
    </border>
    <border>
      <left style="thin">
        <color rgb="FF9E9E9E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9E9E9E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5" fillId="0" borderId="0"/>
    <xf numFmtId="9" fontId="5" fillId="0" borderId="0"/>
  </cellStyleXfs>
  <cellXfs count="1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165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65" fontId="5" fillId="0" borderId="0" xfId="1" applyNumberFormat="1"/>
    <xf numFmtId="0" fontId="7" fillId="3" borderId="0" xfId="0" applyFont="1" applyFill="1"/>
    <xf numFmtId="165" fontId="0" fillId="0" borderId="0" xfId="0" applyNumberFormat="1"/>
    <xf numFmtId="9" fontId="5" fillId="0" borderId="0" xfId="2"/>
    <xf numFmtId="0" fontId="7" fillId="3" borderId="0" xfId="0" applyFont="1" applyFill="1" applyAlignment="1">
      <alignment horizontal="right"/>
    </xf>
    <xf numFmtId="3" fontId="5" fillId="0" borderId="0" xfId="1" applyNumberFormat="1" applyAlignment="1">
      <alignment horizontal="left"/>
    </xf>
    <xf numFmtId="0" fontId="7" fillId="3" borderId="0" xfId="0" applyFont="1" applyFill="1" applyAlignment="1">
      <alignment horizontal="left"/>
    </xf>
    <xf numFmtId="0" fontId="6" fillId="0" borderId="1" xfId="0" applyFont="1" applyBorder="1" applyAlignment="1">
      <alignment horizontal="left" vertical="center"/>
    </xf>
    <xf numFmtId="4" fontId="0" fillId="0" borderId="0" xfId="0" applyNumberFormat="1" applyAlignment="1">
      <alignment horizontal="right" vertical="center"/>
    </xf>
    <xf numFmtId="4" fontId="0" fillId="0" borderId="0" xfId="0" applyNumberFormat="1"/>
    <xf numFmtId="0" fontId="9" fillId="0" borderId="0" xfId="0" applyFont="1"/>
    <xf numFmtId="0" fontId="8" fillId="0" borderId="0" xfId="0" applyFont="1"/>
    <xf numFmtId="4" fontId="8" fillId="0" borderId="0" xfId="0" applyNumberFormat="1" applyFont="1"/>
    <xf numFmtId="0" fontId="2" fillId="2" borderId="3" xfId="0" applyFont="1" applyFill="1" applyBorder="1" applyAlignment="1">
      <alignment horizontal="left" vertical="center"/>
    </xf>
    <xf numFmtId="0" fontId="0" fillId="0" borderId="0" xfId="0" quotePrefix="1"/>
    <xf numFmtId="0" fontId="0" fillId="4" borderId="1" xfId="0" applyFill="1" applyBorder="1" applyAlignment="1">
      <alignment horizontal="left" vertical="center"/>
    </xf>
    <xf numFmtId="0" fontId="0" fillId="0" borderId="0" xfId="0" applyAlignment="1">
      <alignment horizontal="left" indent="1"/>
    </xf>
    <xf numFmtId="9" fontId="3" fillId="0" borderId="1" xfId="0" applyNumberFormat="1" applyFont="1" applyBorder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0" fontId="1" fillId="0" borderId="0" xfId="0" applyFont="1"/>
    <xf numFmtId="166" fontId="0" fillId="0" borderId="0" xfId="0" applyNumberFormat="1"/>
    <xf numFmtId="0" fontId="11" fillId="0" borderId="0" xfId="0" applyFont="1"/>
    <xf numFmtId="0" fontId="13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37" fontId="11" fillId="0" borderId="0" xfId="0" applyNumberFormat="1" applyFont="1"/>
    <xf numFmtId="39" fontId="11" fillId="0" borderId="0" xfId="0" applyNumberFormat="1" applyFont="1"/>
    <xf numFmtId="0" fontId="15" fillId="0" borderId="4" xfId="0" applyFont="1" applyBorder="1" applyAlignment="1">
      <alignment horizontal="left" indent="1"/>
    </xf>
    <xf numFmtId="37" fontId="15" fillId="0" borderId="4" xfId="0" applyNumberFormat="1" applyFont="1" applyBorder="1"/>
    <xf numFmtId="39" fontId="15" fillId="0" borderId="4" xfId="0" applyNumberFormat="1" applyFont="1" applyBorder="1"/>
    <xf numFmtId="39" fontId="15" fillId="0" borderId="0" xfId="0" applyNumberFormat="1" applyFont="1"/>
    <xf numFmtId="0" fontId="12" fillId="0" borderId="0" xfId="0" applyFont="1" applyAlignment="1">
      <alignment horizontal="left" indent="1"/>
    </xf>
    <xf numFmtId="168" fontId="12" fillId="0" borderId="0" xfId="0" applyNumberFormat="1" applyFont="1"/>
    <xf numFmtId="168" fontId="11" fillId="0" borderId="0" xfId="0" applyNumberFormat="1" applyFont="1"/>
    <xf numFmtId="0" fontId="15" fillId="0" borderId="0" xfId="0" applyFont="1" applyAlignment="1">
      <alignment horizontal="left" indent="1"/>
    </xf>
    <xf numFmtId="37" fontId="15" fillId="0" borderId="0" xfId="0" applyNumberFormat="1" applyFont="1"/>
    <xf numFmtId="3" fontId="11" fillId="0" borderId="0" xfId="0" applyNumberFormat="1" applyFont="1"/>
    <xf numFmtId="3" fontId="15" fillId="0" borderId="4" xfId="0" applyNumberFormat="1" applyFont="1" applyBorder="1"/>
    <xf numFmtId="43" fontId="11" fillId="0" borderId="0" xfId="1" applyFont="1"/>
    <xf numFmtId="169" fontId="11" fillId="0" borderId="0" xfId="1" applyNumberFormat="1" applyFont="1"/>
    <xf numFmtId="165" fontId="11" fillId="0" borderId="0" xfId="1" applyNumberFormat="1" applyFont="1"/>
    <xf numFmtId="167" fontId="11" fillId="0" borderId="0" xfId="1" applyNumberFormat="1" applyFont="1"/>
    <xf numFmtId="9" fontId="15" fillId="0" borderId="0" xfId="1" applyNumberFormat="1" applyFont="1" applyAlignment="1">
      <alignment horizontal="center"/>
    </xf>
    <xf numFmtId="43" fontId="11" fillId="0" borderId="2" xfId="1" applyFont="1" applyBorder="1"/>
    <xf numFmtId="169" fontId="11" fillId="0" borderId="2" xfId="1" applyNumberFormat="1" applyFont="1" applyBorder="1"/>
    <xf numFmtId="167" fontId="11" fillId="0" borderId="2" xfId="1" applyNumberFormat="1" applyFont="1" applyBorder="1"/>
    <xf numFmtId="9" fontId="15" fillId="0" borderId="2" xfId="1" applyNumberFormat="1" applyFont="1" applyBorder="1" applyAlignment="1">
      <alignment horizontal="center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/>
    </xf>
    <xf numFmtId="169" fontId="16" fillId="0" borderId="0" xfId="0" applyNumberFormat="1" applyFont="1" applyAlignment="1">
      <alignment horizontal="right" vertical="center"/>
    </xf>
    <xf numFmtId="169" fontId="15" fillId="0" borderId="0" xfId="1" applyNumberFormat="1" applyFont="1"/>
    <xf numFmtId="165" fontId="15" fillId="0" borderId="0" xfId="1" applyNumberFormat="1" applyFont="1"/>
    <xf numFmtId="167" fontId="15" fillId="0" borderId="0" xfId="1" applyNumberFormat="1" applyFont="1"/>
    <xf numFmtId="167" fontId="16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69" fontId="17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0" fontId="11" fillId="0" borderId="4" xfId="0" applyFont="1" applyBorder="1"/>
    <xf numFmtId="3" fontId="15" fillId="0" borderId="0" xfId="0" applyNumberFormat="1" applyFont="1"/>
    <xf numFmtId="10" fontId="12" fillId="0" borderId="0" xfId="0" applyNumberFormat="1" applyFont="1"/>
    <xf numFmtId="0" fontId="19" fillId="0" borderId="0" xfId="0" applyFont="1" applyAlignment="1">
      <alignment horizontal="left" vertical="center"/>
    </xf>
    <xf numFmtId="3" fontId="18" fillId="0" borderId="0" xfId="0" applyNumberFormat="1" applyFont="1"/>
    <xf numFmtId="0" fontId="13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/>
    </xf>
    <xf numFmtId="0" fontId="16" fillId="4" borderId="4" xfId="0" applyFont="1" applyFill="1" applyBorder="1" applyAlignment="1">
      <alignment horizontal="left" vertical="center" indent="1"/>
    </xf>
    <xf numFmtId="0" fontId="11" fillId="4" borderId="4" xfId="0" applyFont="1" applyFill="1" applyBorder="1"/>
    <xf numFmtId="37" fontId="15" fillId="4" borderId="4" xfId="1" applyNumberFormat="1" applyFont="1" applyFill="1" applyBorder="1"/>
    <xf numFmtId="165" fontId="15" fillId="4" borderId="0" xfId="1" applyNumberFormat="1" applyFont="1" applyFill="1"/>
    <xf numFmtId="167" fontId="15" fillId="4" borderId="4" xfId="1" applyNumberFormat="1" applyFont="1" applyFill="1" applyBorder="1"/>
    <xf numFmtId="0" fontId="0" fillId="6" borderId="1" xfId="0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3" fontId="3" fillId="7" borderId="1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left" vertical="center" wrapText="1"/>
    </xf>
    <xf numFmtId="3" fontId="3" fillId="8" borderId="1" xfId="0" applyNumberFormat="1" applyFont="1" applyFill="1" applyBorder="1" applyAlignment="1">
      <alignment horizontal="right" vertical="center"/>
    </xf>
    <xf numFmtId="0" fontId="21" fillId="0" borderId="1" xfId="0" applyFont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19" fillId="0" borderId="5" xfId="0" applyFont="1" applyBorder="1" applyAlignment="1">
      <alignment horizontal="left" vertical="center" indent="1"/>
    </xf>
    <xf numFmtId="165" fontId="15" fillId="0" borderId="4" xfId="1" applyNumberFormat="1" applyFont="1" applyBorder="1"/>
    <xf numFmtId="167" fontId="12" fillId="0" borderId="4" xfId="1" applyNumberFormat="1" applyFont="1" applyBorder="1"/>
    <xf numFmtId="167" fontId="12" fillId="0" borderId="6" xfId="1" applyNumberFormat="1" applyFont="1" applyBorder="1"/>
    <xf numFmtId="0" fontId="19" fillId="0" borderId="7" xfId="0" applyFont="1" applyBorder="1" applyAlignment="1">
      <alignment horizontal="left" vertical="center" indent="1"/>
    </xf>
    <xf numFmtId="167" fontId="12" fillId="0" borderId="0" xfId="1" applyNumberFormat="1" applyFont="1"/>
    <xf numFmtId="167" fontId="12" fillId="0" borderId="8" xfId="1" applyNumberFormat="1" applyFont="1" applyBorder="1"/>
    <xf numFmtId="0" fontId="22" fillId="4" borderId="7" xfId="0" applyFont="1" applyFill="1" applyBorder="1" applyAlignment="1">
      <alignment horizontal="left" vertical="center" indent="1"/>
    </xf>
    <xf numFmtId="0" fontId="15" fillId="4" borderId="0" xfId="0" applyFont="1" applyFill="1"/>
    <xf numFmtId="3" fontId="15" fillId="4" borderId="0" xfId="0" applyNumberFormat="1" applyFont="1" applyFill="1"/>
    <xf numFmtId="10" fontId="14" fillId="4" borderId="0" xfId="0" applyNumberFormat="1" applyFont="1" applyFill="1"/>
    <xf numFmtId="10" fontId="14" fillId="4" borderId="8" xfId="0" applyNumberFormat="1" applyFont="1" applyFill="1" applyBorder="1"/>
    <xf numFmtId="0" fontId="22" fillId="4" borderId="9" xfId="0" applyFont="1" applyFill="1" applyBorder="1" applyAlignment="1">
      <alignment horizontal="left" vertical="center" indent="1"/>
    </xf>
    <xf numFmtId="0" fontId="15" fillId="4" borderId="2" xfId="0" applyFont="1" applyFill="1" applyBorder="1"/>
    <xf numFmtId="3" fontId="15" fillId="4" borderId="2" xfId="0" applyNumberFormat="1" applyFont="1" applyFill="1" applyBorder="1"/>
    <xf numFmtId="165" fontId="15" fillId="4" borderId="2" xfId="1" applyNumberFormat="1" applyFont="1" applyFill="1" applyBorder="1"/>
    <xf numFmtId="10" fontId="14" fillId="4" borderId="2" xfId="0" applyNumberFormat="1" applyFont="1" applyFill="1" applyBorder="1"/>
    <xf numFmtId="10" fontId="14" fillId="4" borderId="10" xfId="0" applyNumberFormat="1" applyFont="1" applyFill="1" applyBorder="1"/>
    <xf numFmtId="0" fontId="8" fillId="0" borderId="11" xfId="0" applyFont="1" applyBorder="1" applyAlignment="1">
      <alignment horizontal="right"/>
    </xf>
    <xf numFmtId="0" fontId="2" fillId="2" borderId="14" xfId="0" applyFont="1" applyFill="1" applyBorder="1" applyAlignment="1">
      <alignment horizontal="left" vertical="center"/>
    </xf>
    <xf numFmtId="4" fontId="2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70" fontId="3" fillId="0" borderId="1" xfId="0" applyNumberFormat="1" applyFont="1" applyBorder="1" applyAlignment="1">
      <alignment horizontal="right" vertical="center"/>
    </xf>
    <xf numFmtId="171" fontId="3" fillId="0" borderId="1" xfId="0" applyNumberFormat="1" applyFont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172" fontId="4" fillId="0" borderId="1" xfId="0" applyNumberFormat="1" applyFont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5" fillId="0" borderId="12" xfId="0" applyFont="1" applyBorder="1"/>
    <xf numFmtId="0" fontId="15" fillId="0" borderId="13" xfId="0" applyFont="1" applyBorder="1"/>
    <xf numFmtId="0" fontId="11" fillId="0" borderId="16" xfId="0" applyFont="1" applyBorder="1"/>
    <xf numFmtId="0" fontId="15" fillId="0" borderId="18" xfId="0" applyFont="1" applyBorder="1"/>
    <xf numFmtId="9" fontId="24" fillId="6" borderId="20" xfId="0" applyNumberFormat="1" applyFont="1" applyFill="1" applyBorder="1"/>
    <xf numFmtId="172" fontId="24" fillId="6" borderId="15" xfId="0" applyNumberFormat="1" applyFont="1" applyFill="1" applyBorder="1"/>
    <xf numFmtId="9" fontId="25" fillId="6" borderId="15" xfId="0" applyNumberFormat="1" applyFont="1" applyFill="1" applyBorder="1"/>
    <xf numFmtId="4" fontId="25" fillId="6" borderId="0" xfId="0" applyNumberFormat="1" applyFont="1" applyFill="1" applyAlignment="1">
      <alignment horizontal="right" vertical="center"/>
    </xf>
    <xf numFmtId="0" fontId="11" fillId="0" borderId="17" xfId="0" applyFont="1" applyBorder="1"/>
    <xf numFmtId="0" fontId="11" fillId="0" borderId="19" xfId="0" applyFont="1" applyBorder="1"/>
    <xf numFmtId="171" fontId="24" fillId="6" borderId="19" xfId="0" applyNumberFormat="1" applyFont="1" applyFill="1" applyBorder="1"/>
    <xf numFmtId="172" fontId="12" fillId="0" borderId="4" xfId="1" applyNumberFormat="1" applyFont="1" applyBorder="1"/>
    <xf numFmtId="172" fontId="12" fillId="0" borderId="6" xfId="1" applyNumberFormat="1" applyFont="1" applyBorder="1"/>
    <xf numFmtId="170" fontId="14" fillId="4" borderId="2" xfId="0" applyNumberFormat="1" applyFont="1" applyFill="1" applyBorder="1"/>
    <xf numFmtId="170" fontId="14" fillId="4" borderId="10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03BBFC-79C2-4702-A50E-C84030130EE3}">
  <we:reference id="29673e3c-d826-4f00-92ee-162334a52b1a" version="1.0.0.0" store="EXCatalog" storeType="EXCatalog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2:I87"/>
  <sheetViews>
    <sheetView workbookViewId="0">
      <selection activeCell="F4" sqref="F4"/>
    </sheetView>
  </sheetViews>
  <sheetFormatPr defaultRowHeight="15" x14ac:dyDescent="0.25"/>
  <cols>
    <col min="2" max="2" width="21.28515625" customWidth="1"/>
    <col min="3" max="3" width="44.7109375" customWidth="1"/>
    <col min="4" max="4" width="38" customWidth="1"/>
    <col min="5" max="5" width="39.5703125" style="18" customWidth="1"/>
    <col min="6" max="6" width="30.42578125" customWidth="1"/>
    <col min="7" max="7" width="15.7109375" customWidth="1"/>
    <col min="8" max="8" width="39.7109375" bestFit="1" customWidth="1"/>
    <col min="9" max="9" width="14.42578125" bestFit="1" customWidth="1"/>
  </cols>
  <sheetData>
    <row r="2" spans="2:9" ht="18.75" customHeight="1" x14ac:dyDescent="0.3">
      <c r="B2" s="38" t="s">
        <v>0</v>
      </c>
      <c r="D2" s="30" t="s">
        <v>219</v>
      </c>
      <c r="E2" s="115"/>
      <c r="F2" s="134">
        <f>'Tier Breakdown'!D3</f>
        <v>0.15</v>
      </c>
    </row>
    <row r="3" spans="2:9" x14ac:dyDescent="0.25">
      <c r="B3" s="13" t="s">
        <v>1</v>
      </c>
      <c r="C3" s="13" t="s">
        <v>2</v>
      </c>
      <c r="D3" s="13" t="s">
        <v>3</v>
      </c>
      <c r="E3" s="1" t="s">
        <v>195</v>
      </c>
      <c r="F3" s="116" t="s">
        <v>171</v>
      </c>
      <c r="G3" s="32" t="s">
        <v>183</v>
      </c>
      <c r="H3" s="32" t="s">
        <v>160</v>
      </c>
    </row>
    <row r="4" spans="2:9" x14ac:dyDescent="0.25">
      <c r="B4" s="15" t="s">
        <v>4</v>
      </c>
      <c r="C4" s="16" t="s">
        <v>101</v>
      </c>
      <c r="D4" s="16" t="s">
        <v>102</v>
      </c>
      <c r="E4" s="135">
        <f>'Tier Breakdown'!D2*10^6</f>
        <v>1000000000</v>
      </c>
      <c r="F4" s="117">
        <f>E4*F2*'Tier Breakdown'!D4</f>
        <v>1500000000</v>
      </c>
      <c r="G4" s="39">
        <f>IFERROR(F4/E4,1)</f>
        <v>1.5</v>
      </c>
      <c r="H4" s="33" t="str">
        <f>"Assumes "&amp;TEXT(F2,"#%")&amp;" Users use Agentic"</f>
        <v>Assumes 15% Users use Agentic</v>
      </c>
    </row>
    <row r="5" spans="2:9" x14ac:dyDescent="0.25">
      <c r="B5" s="2" t="s">
        <v>4</v>
      </c>
      <c r="C5" s="2" t="s">
        <v>220</v>
      </c>
      <c r="D5" s="14" t="s">
        <v>221</v>
      </c>
      <c r="E5" s="119">
        <v>0.3</v>
      </c>
      <c r="F5" s="119">
        <v>0.5</v>
      </c>
      <c r="G5" s="39">
        <v>0.1</v>
      </c>
      <c r="H5" s="118"/>
    </row>
    <row r="6" spans="2:9" x14ac:dyDescent="0.25">
      <c r="B6" s="2" t="s">
        <v>4</v>
      </c>
      <c r="C6" s="2" t="s">
        <v>227</v>
      </c>
      <c r="D6" s="14" t="s">
        <v>228</v>
      </c>
      <c r="E6" s="122">
        <f t="shared" ref="E6:F6" si="0">E4*E5</f>
        <v>300000000</v>
      </c>
      <c r="F6" s="122">
        <f t="shared" si="0"/>
        <v>750000000</v>
      </c>
      <c r="G6" s="39">
        <v>0.1</v>
      </c>
      <c r="H6" s="118"/>
    </row>
    <row r="7" spans="2:9" x14ac:dyDescent="0.25">
      <c r="B7" s="2" t="s">
        <v>4</v>
      </c>
      <c r="C7" s="2" t="s">
        <v>222</v>
      </c>
      <c r="D7" s="14" t="s">
        <v>225</v>
      </c>
      <c r="E7" s="3">
        <v>10</v>
      </c>
      <c r="F7" s="3">
        <v>20</v>
      </c>
      <c r="G7" s="39">
        <v>0.1</v>
      </c>
      <c r="H7" s="118"/>
    </row>
    <row r="8" spans="2:9" x14ac:dyDescent="0.25">
      <c r="B8" s="2" t="s">
        <v>4</v>
      </c>
      <c r="C8" s="2" t="s">
        <v>223</v>
      </c>
      <c r="D8" s="14" t="s">
        <v>224</v>
      </c>
      <c r="E8" s="120">
        <v>3</v>
      </c>
      <c r="F8" s="120">
        <v>3</v>
      </c>
      <c r="G8" s="39">
        <v>0.1</v>
      </c>
      <c r="H8" s="118"/>
    </row>
    <row r="9" spans="2:9" x14ac:dyDescent="0.25">
      <c r="B9" s="2" t="s">
        <v>4</v>
      </c>
      <c r="C9" s="2" t="s">
        <v>5</v>
      </c>
      <c r="D9" s="14" t="s">
        <v>6</v>
      </c>
      <c r="E9" s="4">
        <f>E6*E7*E8/86400</f>
        <v>104166.66666666667</v>
      </c>
      <c r="F9" s="4">
        <f>F6*F7*F8/86400</f>
        <v>520833.33333333331</v>
      </c>
      <c r="G9" s="39">
        <f t="shared" ref="G9:G41" si="1">IFERROR(F9/E9,1)</f>
        <v>5</v>
      </c>
      <c r="I9" s="29"/>
    </row>
    <row r="10" spans="2:9" x14ac:dyDescent="0.25">
      <c r="B10" s="2" t="s">
        <v>4</v>
      </c>
      <c r="C10" s="88" t="s">
        <v>7</v>
      </c>
      <c r="D10" s="14" t="s">
        <v>8</v>
      </c>
      <c r="E10" s="3">
        <v>500</v>
      </c>
      <c r="F10" s="3">
        <v>35000</v>
      </c>
      <c r="G10" s="39">
        <f t="shared" si="1"/>
        <v>70</v>
      </c>
      <c r="H10" t="s">
        <v>172</v>
      </c>
      <c r="I10" s="29"/>
    </row>
    <row r="11" spans="2:9" x14ac:dyDescent="0.25">
      <c r="B11" s="2" t="s">
        <v>4</v>
      </c>
      <c r="C11" s="88" t="s">
        <v>9</v>
      </c>
      <c r="D11" s="14" t="s">
        <v>10</v>
      </c>
      <c r="E11" s="4">
        <f>E10*2</f>
        <v>1000</v>
      </c>
      <c r="F11" s="3">
        <v>50000</v>
      </c>
      <c r="G11" s="39">
        <f t="shared" si="1"/>
        <v>50</v>
      </c>
      <c r="H11" t="s">
        <v>173</v>
      </c>
      <c r="I11" s="28"/>
    </row>
    <row r="12" spans="2:9" x14ac:dyDescent="0.25">
      <c r="B12" s="2" t="s">
        <v>4</v>
      </c>
      <c r="C12" s="88" t="s">
        <v>11</v>
      </c>
      <c r="D12" s="14" t="s">
        <v>12</v>
      </c>
      <c r="E12" s="4">
        <f>E10/3</f>
        <v>166.66666666666666</v>
      </c>
      <c r="F12" s="3">
        <v>5000</v>
      </c>
      <c r="G12" s="39">
        <f t="shared" si="1"/>
        <v>30</v>
      </c>
      <c r="H12" t="s">
        <v>174</v>
      </c>
      <c r="I12" s="28"/>
    </row>
    <row r="13" spans="2:9" x14ac:dyDescent="0.25">
      <c r="B13" s="2" t="s">
        <v>4</v>
      </c>
      <c r="C13" s="34" t="s">
        <v>13</v>
      </c>
      <c r="D13" s="14" t="s">
        <v>8</v>
      </c>
      <c r="E13" s="4">
        <f>E10+E11+E12</f>
        <v>1666.6666666666667</v>
      </c>
      <c r="F13" s="4">
        <f>F10+F11+F12</f>
        <v>90000</v>
      </c>
      <c r="G13" s="39">
        <f t="shared" si="1"/>
        <v>54</v>
      </c>
    </row>
    <row r="14" spans="2:9" x14ac:dyDescent="0.25">
      <c r="B14" s="2" t="s">
        <v>4</v>
      </c>
      <c r="C14" s="2" t="s">
        <v>14</v>
      </c>
      <c r="D14" s="14" t="s">
        <v>15</v>
      </c>
      <c r="E14" s="4">
        <f>E15</f>
        <v>15000000000000.002</v>
      </c>
      <c r="F14" s="4">
        <f>F9*F13*86400</f>
        <v>4050000000000000</v>
      </c>
      <c r="G14" s="39">
        <f t="shared" si="1"/>
        <v>269.99999999999994</v>
      </c>
      <c r="H14" s="30"/>
      <c r="I14" s="31"/>
    </row>
    <row r="15" spans="2:9" x14ac:dyDescent="0.25">
      <c r="B15" s="2" t="s">
        <v>4</v>
      </c>
      <c r="C15" s="2" t="s">
        <v>16</v>
      </c>
      <c r="D15" s="14" t="s">
        <v>17</v>
      </c>
      <c r="E15" s="4">
        <f>E9*E13*86400</f>
        <v>15000000000000.002</v>
      </c>
      <c r="F15" s="4">
        <f>F9*F13*86400</f>
        <v>4050000000000000</v>
      </c>
      <c r="G15" s="39">
        <f t="shared" si="1"/>
        <v>269.99999999999994</v>
      </c>
      <c r="H15" s="30" t="s">
        <v>229</v>
      </c>
    </row>
    <row r="16" spans="2:9" x14ac:dyDescent="0.25">
      <c r="B16" s="2" t="s">
        <v>4</v>
      </c>
      <c r="C16" s="88" t="s">
        <v>18</v>
      </c>
      <c r="D16" s="14" t="s">
        <v>19</v>
      </c>
      <c r="E16" s="3">
        <v>300000</v>
      </c>
      <c r="F16" s="4">
        <f>F9</f>
        <v>520833.33333333331</v>
      </c>
      <c r="G16" s="39">
        <f t="shared" si="1"/>
        <v>1.7361111111111109</v>
      </c>
    </row>
    <row r="17" spans="2:8" x14ac:dyDescent="0.25">
      <c r="B17" s="2" t="s">
        <v>4</v>
      </c>
      <c r="C17" s="2" t="s">
        <v>20</v>
      </c>
      <c r="D17" s="14" t="s">
        <v>21</v>
      </c>
      <c r="E17" s="3">
        <v>1500000</v>
      </c>
      <c r="F17" s="4">
        <f>F9*F12/60</f>
        <v>43402777.777777776</v>
      </c>
      <c r="G17" s="39">
        <f t="shared" si="1"/>
        <v>28.935185185185183</v>
      </c>
    </row>
    <row r="18" spans="2:8" x14ac:dyDescent="0.25">
      <c r="B18" s="2" t="s">
        <v>4</v>
      </c>
      <c r="C18" s="2" t="s">
        <v>22</v>
      </c>
      <c r="D18" s="14" t="s">
        <v>23</v>
      </c>
      <c r="E18" s="4">
        <f>E16+E17</f>
        <v>1800000</v>
      </c>
      <c r="F18" s="4">
        <f>F16+F17</f>
        <v>43923611.111111112</v>
      </c>
      <c r="G18" s="39">
        <f t="shared" si="1"/>
        <v>24.402006172839506</v>
      </c>
      <c r="H18" s="28"/>
    </row>
    <row r="19" spans="2:8" x14ac:dyDescent="0.25">
      <c r="B19" s="2" t="s">
        <v>24</v>
      </c>
      <c r="C19" s="2" t="s">
        <v>25</v>
      </c>
      <c r="D19" s="14" t="s">
        <v>26</v>
      </c>
      <c r="E19" s="3">
        <v>2</v>
      </c>
      <c r="F19" s="3">
        <v>2</v>
      </c>
      <c r="G19" s="39">
        <f t="shared" si="1"/>
        <v>1</v>
      </c>
    </row>
    <row r="20" spans="2:8" x14ac:dyDescent="0.25">
      <c r="B20" s="2" t="s">
        <v>24</v>
      </c>
      <c r="C20" s="2" t="s">
        <v>27</v>
      </c>
      <c r="D20" s="14"/>
      <c r="E20" s="5">
        <v>96</v>
      </c>
      <c r="F20" s="5">
        <v>96</v>
      </c>
      <c r="G20" s="39">
        <f t="shared" si="1"/>
        <v>1</v>
      </c>
    </row>
    <row r="21" spans="2:8" x14ac:dyDescent="0.25">
      <c r="B21" s="2" t="s">
        <v>24</v>
      </c>
      <c r="C21" s="2" t="s">
        <v>28</v>
      </c>
      <c r="D21" s="14" t="s">
        <v>158</v>
      </c>
      <c r="E21" s="5">
        <v>8</v>
      </c>
      <c r="F21" s="5">
        <v>8</v>
      </c>
      <c r="G21" s="39">
        <f t="shared" si="1"/>
        <v>1</v>
      </c>
    </row>
    <row r="22" spans="2:8" x14ac:dyDescent="0.25">
      <c r="B22" s="2" t="s">
        <v>24</v>
      </c>
      <c r="C22" s="2" t="s">
        <v>29</v>
      </c>
      <c r="D22" s="14"/>
      <c r="E22" s="5">
        <v>128</v>
      </c>
      <c r="F22" s="5">
        <v>128</v>
      </c>
      <c r="G22" s="39">
        <f t="shared" si="1"/>
        <v>1</v>
      </c>
    </row>
    <row r="23" spans="2:8" ht="30" customHeight="1" x14ac:dyDescent="0.25">
      <c r="B23" s="2" t="s">
        <v>24</v>
      </c>
      <c r="C23" s="2" t="s">
        <v>30</v>
      </c>
      <c r="D23" s="14" t="s">
        <v>31</v>
      </c>
      <c r="E23" s="4">
        <f>2*E20*E21*E22*E19</f>
        <v>393216</v>
      </c>
      <c r="F23" s="4">
        <f>2*F20*F21*F22*F19</f>
        <v>393216</v>
      </c>
      <c r="G23" s="39">
        <f t="shared" si="1"/>
        <v>1</v>
      </c>
    </row>
    <row r="24" spans="2:8" x14ac:dyDescent="0.25">
      <c r="B24" s="2" t="s">
        <v>24</v>
      </c>
      <c r="C24" s="2" t="s">
        <v>32</v>
      </c>
      <c r="D24" s="14" t="s">
        <v>33</v>
      </c>
      <c r="E24" s="3">
        <v>393216</v>
      </c>
      <c r="F24" s="3">
        <v>393216</v>
      </c>
      <c r="G24" s="39">
        <f t="shared" si="1"/>
        <v>1</v>
      </c>
    </row>
    <row r="25" spans="2:8" x14ac:dyDescent="0.25">
      <c r="B25" s="2" t="s">
        <v>24</v>
      </c>
      <c r="C25" s="2" t="s">
        <v>34</v>
      </c>
      <c r="D25" s="14" t="s">
        <v>8</v>
      </c>
      <c r="E25" s="5">
        <v>1024</v>
      </c>
      <c r="F25" s="5">
        <v>1024</v>
      </c>
      <c r="G25" s="39">
        <f t="shared" si="1"/>
        <v>1</v>
      </c>
    </row>
    <row r="26" spans="2:8" x14ac:dyDescent="0.25">
      <c r="B26" s="2" t="s">
        <v>24</v>
      </c>
      <c r="C26" s="2" t="s">
        <v>35</v>
      </c>
      <c r="D26" s="14" t="s">
        <v>36</v>
      </c>
      <c r="E26" s="6">
        <f>E23*E25</f>
        <v>402653184</v>
      </c>
      <c r="F26" s="6">
        <f>F23*F25</f>
        <v>402653184</v>
      </c>
      <c r="G26" s="39">
        <f t="shared" si="1"/>
        <v>1</v>
      </c>
    </row>
    <row r="27" spans="2:8" x14ac:dyDescent="0.25">
      <c r="B27" s="2" t="s">
        <v>24</v>
      </c>
      <c r="C27" s="2" t="s">
        <v>37</v>
      </c>
      <c r="D27" s="14" t="s">
        <v>38</v>
      </c>
      <c r="E27" s="6">
        <f>E26*E18</f>
        <v>724775731200000</v>
      </c>
      <c r="F27" s="6">
        <f>F26*F18</f>
        <v>1.7685981866666668E+16</v>
      </c>
      <c r="G27" s="39">
        <f t="shared" si="1"/>
        <v>24.402006172839506</v>
      </c>
    </row>
    <row r="28" spans="2:8" x14ac:dyDescent="0.25">
      <c r="B28" s="2" t="s">
        <v>39</v>
      </c>
      <c r="C28" s="2" t="s">
        <v>40</v>
      </c>
      <c r="D28" s="14"/>
      <c r="E28" s="7">
        <v>0.5</v>
      </c>
      <c r="F28" s="7">
        <v>0.5</v>
      </c>
      <c r="G28" s="39">
        <f t="shared" si="1"/>
        <v>1</v>
      </c>
    </row>
    <row r="29" spans="2:8" x14ac:dyDescent="0.25">
      <c r="B29" s="2" t="s">
        <v>39</v>
      </c>
      <c r="C29" s="2" t="s">
        <v>41</v>
      </c>
      <c r="D29" s="14"/>
      <c r="E29" s="7">
        <v>0.5</v>
      </c>
      <c r="F29" s="7">
        <v>0.5</v>
      </c>
      <c r="G29" s="39">
        <f t="shared" si="1"/>
        <v>1</v>
      </c>
    </row>
    <row r="30" spans="2:8" x14ac:dyDescent="0.25">
      <c r="B30" s="2" t="s">
        <v>39</v>
      </c>
      <c r="C30" s="2" t="s">
        <v>42</v>
      </c>
      <c r="D30" s="14"/>
      <c r="E30" s="7">
        <v>0</v>
      </c>
      <c r="F30" s="7">
        <v>0</v>
      </c>
      <c r="G30" s="39">
        <f t="shared" si="1"/>
        <v>1</v>
      </c>
    </row>
    <row r="31" spans="2:8" x14ac:dyDescent="0.25">
      <c r="B31" s="2" t="s">
        <v>39</v>
      </c>
      <c r="C31" s="2" t="s">
        <v>43</v>
      </c>
      <c r="D31" s="14" t="s">
        <v>38</v>
      </c>
      <c r="E31" s="6">
        <f>E27*E28</f>
        <v>362387865600000</v>
      </c>
      <c r="F31" s="6">
        <f>F27*F28</f>
        <v>8842990933333334</v>
      </c>
      <c r="G31" s="39">
        <f t="shared" si="1"/>
        <v>24.402006172839506</v>
      </c>
    </row>
    <row r="32" spans="2:8" x14ac:dyDescent="0.25">
      <c r="B32" s="2" t="s">
        <v>39</v>
      </c>
      <c r="C32" s="2" t="s">
        <v>44</v>
      </c>
      <c r="D32" s="14" t="s">
        <v>38</v>
      </c>
      <c r="E32" s="6">
        <f>E27*E29</f>
        <v>362387865600000</v>
      </c>
      <c r="F32" s="6">
        <f>F27*F29</f>
        <v>8842990933333334</v>
      </c>
      <c r="G32" s="39">
        <f t="shared" si="1"/>
        <v>24.402006172839506</v>
      </c>
    </row>
    <row r="33" spans="2:8" x14ac:dyDescent="0.25">
      <c r="B33" s="2" t="s">
        <v>39</v>
      </c>
      <c r="C33" s="2" t="s">
        <v>45</v>
      </c>
      <c r="D33" s="14" t="s">
        <v>38</v>
      </c>
      <c r="E33" s="6">
        <f>E27*E30</f>
        <v>0</v>
      </c>
      <c r="F33" s="6">
        <f>F27*F30</f>
        <v>0</v>
      </c>
      <c r="G33" s="39">
        <f t="shared" si="1"/>
        <v>1</v>
      </c>
    </row>
    <row r="34" spans="2:8" x14ac:dyDescent="0.25">
      <c r="B34" s="2" t="s">
        <v>46</v>
      </c>
      <c r="C34" s="2" t="s">
        <v>47</v>
      </c>
      <c r="D34" s="14" t="s">
        <v>48</v>
      </c>
      <c r="E34" s="8">
        <v>24</v>
      </c>
      <c r="F34" s="8">
        <v>24</v>
      </c>
      <c r="G34" s="39">
        <f t="shared" si="1"/>
        <v>1</v>
      </c>
    </row>
    <row r="35" spans="2:8" x14ac:dyDescent="0.25">
      <c r="B35" s="2" t="s">
        <v>46</v>
      </c>
      <c r="C35" s="34" t="s">
        <v>49</v>
      </c>
      <c r="D35" s="14" t="s">
        <v>50</v>
      </c>
      <c r="E35" s="7">
        <v>0.5</v>
      </c>
      <c r="F35" s="7">
        <v>0.85</v>
      </c>
      <c r="G35" s="39">
        <f t="shared" si="1"/>
        <v>1.7</v>
      </c>
    </row>
    <row r="36" spans="2:8" x14ac:dyDescent="0.25">
      <c r="B36" s="2" t="s">
        <v>46</v>
      </c>
      <c r="C36" s="2" t="s">
        <v>51</v>
      </c>
      <c r="D36" s="14" t="s">
        <v>159</v>
      </c>
      <c r="E36" s="36">
        <v>0.6</v>
      </c>
      <c r="F36" s="36">
        <v>0.4</v>
      </c>
      <c r="G36" s="39">
        <f t="shared" si="1"/>
        <v>0.66666666666666674</v>
      </c>
    </row>
    <row r="37" spans="2:8" x14ac:dyDescent="0.25">
      <c r="B37" s="2" t="s">
        <v>46</v>
      </c>
      <c r="C37" s="2" t="s">
        <v>52</v>
      </c>
      <c r="D37" s="14" t="s">
        <v>53</v>
      </c>
      <c r="E37" s="4">
        <f>E14*(E34/24)</f>
        <v>15000000000000.002</v>
      </c>
      <c r="F37" s="4">
        <f>F14*(F34/24)</f>
        <v>4050000000000000</v>
      </c>
      <c r="G37" s="39">
        <f t="shared" si="1"/>
        <v>269.99999999999994</v>
      </c>
    </row>
    <row r="38" spans="2:8" ht="30" customHeight="1" x14ac:dyDescent="0.25">
      <c r="B38" s="2" t="s">
        <v>46</v>
      </c>
      <c r="C38" s="2" t="s">
        <v>54</v>
      </c>
      <c r="D38" s="14" t="s">
        <v>55</v>
      </c>
      <c r="E38" s="4">
        <f>E37*E35*E23</f>
        <v>2.9491200000000005E+18</v>
      </c>
      <c r="F38" s="4">
        <f>F37*F35*F23</f>
        <v>1.35364608E+21</v>
      </c>
      <c r="G38" s="39">
        <f t="shared" si="1"/>
        <v>458.99999999999994</v>
      </c>
    </row>
    <row r="39" spans="2:8" x14ac:dyDescent="0.25">
      <c r="B39" s="90" t="s">
        <v>56</v>
      </c>
      <c r="C39" s="90" t="s">
        <v>57</v>
      </c>
      <c r="D39" s="91" t="s">
        <v>58</v>
      </c>
      <c r="E39" s="92">
        <v>2500</v>
      </c>
      <c r="F39" s="92">
        <v>2500</v>
      </c>
      <c r="G39" s="39">
        <f t="shared" si="1"/>
        <v>1</v>
      </c>
    </row>
    <row r="40" spans="2:8" x14ac:dyDescent="0.25">
      <c r="B40" s="90" t="s">
        <v>56</v>
      </c>
      <c r="C40" s="90" t="s">
        <v>60</v>
      </c>
      <c r="D40" s="91" t="s">
        <v>23</v>
      </c>
      <c r="E40" s="123">
        <f>E43/E41</f>
        <v>131250</v>
      </c>
      <c r="F40" s="123">
        <f>F43/F41</f>
        <v>2343750</v>
      </c>
      <c r="G40" s="39">
        <f>IFERROR(F40/E40,1)</f>
        <v>17.857142857142858</v>
      </c>
    </row>
    <row r="41" spans="2:8" x14ac:dyDescent="0.25">
      <c r="B41" s="90" t="s">
        <v>56</v>
      </c>
      <c r="C41" s="90" t="s">
        <v>59</v>
      </c>
      <c r="D41" s="91"/>
      <c r="E41" s="92">
        <v>8</v>
      </c>
      <c r="F41" s="92">
        <v>8</v>
      </c>
      <c r="G41" s="39">
        <f t="shared" si="1"/>
        <v>1</v>
      </c>
    </row>
    <row r="42" spans="2:8" x14ac:dyDescent="0.25">
      <c r="B42" s="2" t="s">
        <v>56</v>
      </c>
      <c r="C42" s="96" t="s">
        <v>226</v>
      </c>
      <c r="D42" s="93" t="s">
        <v>61</v>
      </c>
      <c r="E42" s="94">
        <v>3500</v>
      </c>
      <c r="F42" s="94">
        <v>25000</v>
      </c>
      <c r="G42" s="39"/>
      <c r="H42" s="30" t="s">
        <v>231</v>
      </c>
    </row>
    <row r="43" spans="2:8" x14ac:dyDescent="0.25">
      <c r="B43" s="2" t="s">
        <v>56</v>
      </c>
      <c r="C43" s="26" t="s">
        <v>61</v>
      </c>
      <c r="D43" s="14" t="s">
        <v>62</v>
      </c>
      <c r="E43" s="4">
        <f>E42*E6/10^6</f>
        <v>1050000</v>
      </c>
      <c r="F43" s="4">
        <f>F42*F6/10^6</f>
        <v>18750000</v>
      </c>
      <c r="G43" s="39">
        <f t="shared" ref="G43:G72" si="2">IFERROR(F43/E43,1)</f>
        <v>17.857142857142858</v>
      </c>
    </row>
    <row r="44" spans="2:8" x14ac:dyDescent="0.25">
      <c r="B44" s="2" t="s">
        <v>56</v>
      </c>
      <c r="C44" s="26" t="s">
        <v>63</v>
      </c>
      <c r="D44" s="14" t="s">
        <v>64</v>
      </c>
      <c r="E44" s="4">
        <f t="shared" ref="E44:F44" si="3">E43/8</f>
        <v>131250</v>
      </c>
      <c r="F44" s="4">
        <f t="shared" si="3"/>
        <v>2343750</v>
      </c>
      <c r="G44" s="39">
        <f t="shared" si="2"/>
        <v>17.857142857142858</v>
      </c>
    </row>
    <row r="45" spans="2:8" x14ac:dyDescent="0.25">
      <c r="B45" s="2" t="s">
        <v>65</v>
      </c>
      <c r="C45" s="26" t="s">
        <v>66</v>
      </c>
      <c r="D45" s="95" t="s">
        <v>67</v>
      </c>
      <c r="E45" s="9">
        <v>12</v>
      </c>
      <c r="F45" s="9">
        <v>12</v>
      </c>
      <c r="G45" s="39">
        <f t="shared" si="2"/>
        <v>1</v>
      </c>
    </row>
    <row r="46" spans="2:8" ht="30" customHeight="1" x14ac:dyDescent="0.25">
      <c r="B46" s="2" t="s">
        <v>65</v>
      </c>
      <c r="C46" s="26" t="s">
        <v>68</v>
      </c>
      <c r="D46" s="14" t="s">
        <v>69</v>
      </c>
      <c r="E46" s="10">
        <f>E64/E41/1024^3</f>
        <v>119.50760381296278</v>
      </c>
      <c r="F46" s="10">
        <f>F64/F41/1024^3</f>
        <v>119.50760381296278</v>
      </c>
      <c r="G46" s="39">
        <f t="shared" si="2"/>
        <v>1</v>
      </c>
    </row>
    <row r="47" spans="2:8" x14ac:dyDescent="0.25">
      <c r="B47" s="2" t="s">
        <v>70</v>
      </c>
      <c r="C47" s="26" t="s">
        <v>71</v>
      </c>
      <c r="D47" s="14" t="s">
        <v>72</v>
      </c>
      <c r="E47" s="5">
        <v>163840</v>
      </c>
      <c r="F47" s="5">
        <v>163840</v>
      </c>
      <c r="G47" s="39">
        <f t="shared" si="2"/>
        <v>1</v>
      </c>
    </row>
    <row r="48" spans="2:8" x14ac:dyDescent="0.25">
      <c r="B48" s="2" t="s">
        <v>73</v>
      </c>
      <c r="C48" s="89" t="s">
        <v>74</v>
      </c>
      <c r="D48" s="14" t="s">
        <v>75</v>
      </c>
      <c r="E48" s="3">
        <v>100</v>
      </c>
      <c r="F48" s="3">
        <v>100</v>
      </c>
      <c r="G48" s="39">
        <f t="shared" si="2"/>
        <v>1</v>
      </c>
    </row>
    <row r="49" spans="2:7" x14ac:dyDescent="0.25">
      <c r="B49" s="2" t="s">
        <v>70</v>
      </c>
      <c r="C49" s="26" t="s">
        <v>76</v>
      </c>
      <c r="D49" s="14" t="s">
        <v>77</v>
      </c>
      <c r="E49" s="6">
        <f>E47*E18</f>
        <v>294912000000</v>
      </c>
      <c r="F49" s="6">
        <f>F47*F18</f>
        <v>7196444444444.4443</v>
      </c>
      <c r="G49" s="39">
        <f t="shared" si="2"/>
        <v>24.402006172839506</v>
      </c>
    </row>
    <row r="50" spans="2:7" x14ac:dyDescent="0.25">
      <c r="B50" s="2" t="s">
        <v>65</v>
      </c>
      <c r="C50" s="26" t="s">
        <v>78</v>
      </c>
      <c r="D50" s="14" t="s">
        <v>79</v>
      </c>
      <c r="E50" s="10">
        <f>E45*1024^3*E43</f>
        <v>1.35291469824E+16</v>
      </c>
      <c r="F50" s="10">
        <f>F45*1024^3*F43</f>
        <v>2.415919104E+17</v>
      </c>
      <c r="G50" s="39">
        <f t="shared" si="2"/>
        <v>17.857142857142858</v>
      </c>
    </row>
    <row r="51" spans="2:7" x14ac:dyDescent="0.25">
      <c r="B51" s="2" t="s">
        <v>65</v>
      </c>
      <c r="C51" s="26" t="s">
        <v>80</v>
      </c>
      <c r="D51" s="14" t="s">
        <v>79</v>
      </c>
      <c r="E51" s="10">
        <f>E46*1024^3*E43</f>
        <v>1.3473632812500002E+17</v>
      </c>
      <c r="F51" s="10">
        <f>F46*1024^3*F43</f>
        <v>2.4060058593750001E+18</v>
      </c>
      <c r="G51" s="39">
        <f t="shared" si="2"/>
        <v>17.857142857142854</v>
      </c>
    </row>
    <row r="52" spans="2:7" x14ac:dyDescent="0.25">
      <c r="B52" s="2" t="s">
        <v>73</v>
      </c>
      <c r="C52" s="89" t="s">
        <v>81</v>
      </c>
      <c r="D52" s="14" t="s">
        <v>82</v>
      </c>
      <c r="E52" s="4">
        <f>E48*1000000000000*E44</f>
        <v>1.3125E+19</v>
      </c>
      <c r="F52" s="4">
        <f>F48*1000000000000*F44</f>
        <v>2.34375E+20</v>
      </c>
      <c r="G52" s="39">
        <f t="shared" si="2"/>
        <v>17.857142857142858</v>
      </c>
    </row>
    <row r="53" spans="2:7" x14ac:dyDescent="0.25">
      <c r="B53" s="15" t="s">
        <v>46</v>
      </c>
      <c r="C53" s="16" t="s">
        <v>83</v>
      </c>
      <c r="D53" s="15" t="s">
        <v>84</v>
      </c>
      <c r="E53" s="124">
        <f>E36</f>
        <v>0.6</v>
      </c>
      <c r="F53" s="124">
        <f>F36</f>
        <v>0.4</v>
      </c>
      <c r="G53" s="39">
        <f t="shared" si="2"/>
        <v>0.66666666666666674</v>
      </c>
    </row>
    <row r="54" spans="2:7" x14ac:dyDescent="0.25">
      <c r="B54" s="15" t="s">
        <v>46</v>
      </c>
      <c r="C54" s="16" t="s">
        <v>85</v>
      </c>
      <c r="D54" s="15" t="s">
        <v>84</v>
      </c>
      <c r="E54" s="124">
        <f>1-E53</f>
        <v>0.4</v>
      </c>
      <c r="F54" s="124">
        <f>1-F53</f>
        <v>0.6</v>
      </c>
      <c r="G54" s="39">
        <f t="shared" si="2"/>
        <v>1.4999999999999998</v>
      </c>
    </row>
    <row r="55" spans="2:7" x14ac:dyDescent="0.25">
      <c r="B55" s="15" t="s">
        <v>46</v>
      </c>
      <c r="C55" s="16" t="s">
        <v>86</v>
      </c>
      <c r="D55" s="15" t="s">
        <v>38</v>
      </c>
      <c r="E55" s="125">
        <f>E38*E53</f>
        <v>1.7694720000000003E+18</v>
      </c>
      <c r="F55" s="125">
        <f>F38*F53</f>
        <v>5.41458432E+20</v>
      </c>
      <c r="G55" s="39">
        <f t="shared" si="2"/>
        <v>305.99999999999994</v>
      </c>
    </row>
    <row r="56" spans="2:7" x14ac:dyDescent="0.25">
      <c r="B56" s="15" t="s">
        <v>46</v>
      </c>
      <c r="C56" s="16" t="s">
        <v>87</v>
      </c>
      <c r="D56" s="15" t="s">
        <v>38</v>
      </c>
      <c r="E56" s="125">
        <f>E38*E54</f>
        <v>1.1796480000000003E+18</v>
      </c>
      <c r="F56" s="125">
        <f>F38*F54</f>
        <v>8.12187648E+20</v>
      </c>
      <c r="G56" s="39">
        <f t="shared" si="2"/>
        <v>688.49999999999989</v>
      </c>
    </row>
    <row r="57" spans="2:7" x14ac:dyDescent="0.25">
      <c r="B57" s="15" t="s">
        <v>88</v>
      </c>
      <c r="C57" s="37" t="s">
        <v>89</v>
      </c>
      <c r="D57" s="15" t="s">
        <v>84</v>
      </c>
      <c r="E57" s="126">
        <v>4500000000000</v>
      </c>
      <c r="F57" s="127">
        <v>4500000000000</v>
      </c>
      <c r="G57" s="39">
        <f t="shared" si="2"/>
        <v>1</v>
      </c>
    </row>
    <row r="58" spans="2:7" x14ac:dyDescent="0.25">
      <c r="B58" s="15" t="s">
        <v>88</v>
      </c>
      <c r="C58" s="16" t="s">
        <v>90</v>
      </c>
      <c r="D58" s="15" t="s">
        <v>84</v>
      </c>
      <c r="E58" s="127">
        <v>0.1</v>
      </c>
      <c r="F58" s="127">
        <v>0.1</v>
      </c>
      <c r="G58" s="39">
        <f t="shared" si="2"/>
        <v>1</v>
      </c>
    </row>
    <row r="59" spans="2:7" x14ac:dyDescent="0.25">
      <c r="B59" s="15" t="s">
        <v>88</v>
      </c>
      <c r="C59" s="16" t="s">
        <v>91</v>
      </c>
      <c r="D59" s="15" t="s">
        <v>84</v>
      </c>
      <c r="E59" s="127">
        <v>0.9</v>
      </c>
      <c r="F59" s="127">
        <v>0.9</v>
      </c>
      <c r="G59" s="39">
        <f t="shared" si="2"/>
        <v>1</v>
      </c>
    </row>
    <row r="60" spans="2:7" x14ac:dyDescent="0.25">
      <c r="B60" s="15" t="s">
        <v>88</v>
      </c>
      <c r="C60" s="16" t="s">
        <v>92</v>
      </c>
      <c r="D60" s="15" t="s">
        <v>84</v>
      </c>
      <c r="E60" s="127">
        <v>128</v>
      </c>
      <c r="F60" s="127">
        <v>128</v>
      </c>
      <c r="G60" s="39">
        <f t="shared" si="2"/>
        <v>1</v>
      </c>
    </row>
    <row r="61" spans="2:7" x14ac:dyDescent="0.25">
      <c r="B61" s="15" t="s">
        <v>88</v>
      </c>
      <c r="C61" s="16" t="s">
        <v>93</v>
      </c>
      <c r="D61" s="15" t="s">
        <v>23</v>
      </c>
      <c r="E61" s="127">
        <v>2</v>
      </c>
      <c r="F61" s="127">
        <v>2</v>
      </c>
      <c r="G61" s="39">
        <f t="shared" si="2"/>
        <v>1</v>
      </c>
    </row>
    <row r="62" spans="2:7" x14ac:dyDescent="0.25">
      <c r="B62" s="15" t="s">
        <v>88</v>
      </c>
      <c r="C62" s="16" t="s">
        <v>94</v>
      </c>
      <c r="D62" s="15" t="s">
        <v>95</v>
      </c>
      <c r="E62" s="127">
        <v>2</v>
      </c>
      <c r="F62" s="127">
        <v>2</v>
      </c>
      <c r="G62" s="39">
        <f t="shared" si="2"/>
        <v>1</v>
      </c>
    </row>
    <row r="63" spans="2:7" x14ac:dyDescent="0.25">
      <c r="B63" s="15" t="s">
        <v>88</v>
      </c>
      <c r="C63" s="16" t="s">
        <v>96</v>
      </c>
      <c r="D63" s="15" t="s">
        <v>97</v>
      </c>
      <c r="E63" s="125">
        <f>E57*(E58+E59*(E61/E60))</f>
        <v>513281250000.00006</v>
      </c>
      <c r="F63" s="125">
        <f>F57*(F58+F59*(F61/F60))</f>
        <v>513281250000.00006</v>
      </c>
      <c r="G63" s="39">
        <f t="shared" si="2"/>
        <v>1</v>
      </c>
    </row>
    <row r="64" spans="2:7" x14ac:dyDescent="0.25">
      <c r="B64" s="15" t="s">
        <v>88</v>
      </c>
      <c r="C64" s="16" t="s">
        <v>98</v>
      </c>
      <c r="D64" s="15" t="s">
        <v>38</v>
      </c>
      <c r="E64" s="125">
        <f>E63*E62</f>
        <v>1026562500000.0001</v>
      </c>
      <c r="F64" s="125">
        <f>F63*F62</f>
        <v>1026562500000.0001</v>
      </c>
      <c r="G64" s="39">
        <f t="shared" si="2"/>
        <v>1</v>
      </c>
    </row>
    <row r="65" spans="2:8" x14ac:dyDescent="0.25">
      <c r="B65" s="15" t="s">
        <v>88</v>
      </c>
      <c r="C65" s="16" t="s">
        <v>99</v>
      </c>
      <c r="D65" s="15" t="s">
        <v>38</v>
      </c>
      <c r="E65" s="125">
        <f>E64*E40</f>
        <v>1.3473632812500002E+17</v>
      </c>
      <c r="F65" s="125">
        <f>F64*F40</f>
        <v>2.4060058593750001E+18</v>
      </c>
      <c r="G65" s="39">
        <f t="shared" si="2"/>
        <v>17.857142857142854</v>
      </c>
    </row>
    <row r="66" spans="2:8" x14ac:dyDescent="0.25">
      <c r="B66" s="15"/>
      <c r="C66" s="16"/>
      <c r="D66" s="15"/>
      <c r="E66" s="11"/>
      <c r="G66" s="39">
        <f t="shared" si="2"/>
        <v>1</v>
      </c>
    </row>
    <row r="67" spans="2:8" x14ac:dyDescent="0.25">
      <c r="B67" s="15" t="s">
        <v>100</v>
      </c>
      <c r="C67" s="88" t="s">
        <v>103</v>
      </c>
      <c r="D67" s="16" t="s">
        <v>102</v>
      </c>
      <c r="E67" s="12">
        <v>2.5000000000000001E-2</v>
      </c>
      <c r="F67" s="12">
        <v>0.5</v>
      </c>
      <c r="G67" s="39">
        <f t="shared" si="2"/>
        <v>20</v>
      </c>
      <c r="H67" t="s">
        <v>175</v>
      </c>
    </row>
    <row r="68" spans="2:8" x14ac:dyDescent="0.25">
      <c r="B68" s="15" t="s">
        <v>100</v>
      </c>
      <c r="C68" s="16" t="s">
        <v>104</v>
      </c>
      <c r="D68" s="15" t="s">
        <v>84</v>
      </c>
      <c r="E68" s="11">
        <v>3.5</v>
      </c>
      <c r="F68" s="11">
        <v>4.5</v>
      </c>
      <c r="G68" s="39">
        <f t="shared" si="2"/>
        <v>1.2857142857142858</v>
      </c>
      <c r="H68" t="s">
        <v>176</v>
      </c>
    </row>
    <row r="69" spans="2:8" x14ac:dyDescent="0.25">
      <c r="B69" s="15" t="s">
        <v>100</v>
      </c>
      <c r="C69" s="16" t="s">
        <v>105</v>
      </c>
      <c r="D69" s="15" t="s">
        <v>106</v>
      </c>
      <c r="E69" s="11">
        <v>1</v>
      </c>
      <c r="F69" s="11">
        <v>1</v>
      </c>
      <c r="G69" s="39">
        <f t="shared" si="2"/>
        <v>1</v>
      </c>
      <c r="H69" s="15" t="s">
        <v>106</v>
      </c>
    </row>
    <row r="70" spans="2:8" x14ac:dyDescent="0.25">
      <c r="B70" s="15" t="s">
        <v>100</v>
      </c>
      <c r="C70" s="16" t="s">
        <v>107</v>
      </c>
      <c r="D70" s="15" t="s">
        <v>108</v>
      </c>
      <c r="E70" s="11">
        <v>12</v>
      </c>
      <c r="F70" s="11">
        <v>12</v>
      </c>
      <c r="G70" s="39">
        <f t="shared" si="2"/>
        <v>1</v>
      </c>
      <c r="H70" s="15" t="s">
        <v>108</v>
      </c>
    </row>
    <row r="71" spans="2:8" x14ac:dyDescent="0.25">
      <c r="B71" s="15" t="s">
        <v>100</v>
      </c>
      <c r="C71" s="16" t="s">
        <v>109</v>
      </c>
      <c r="D71" s="15" t="s">
        <v>84</v>
      </c>
      <c r="E71" s="11">
        <v>3</v>
      </c>
      <c r="F71" s="11">
        <v>3</v>
      </c>
      <c r="G71" s="39">
        <f t="shared" si="2"/>
        <v>1</v>
      </c>
      <c r="H71" s="15" t="s">
        <v>84</v>
      </c>
    </row>
    <row r="72" spans="2:8" x14ac:dyDescent="0.25">
      <c r="B72" s="15" t="s">
        <v>100</v>
      </c>
      <c r="C72" s="121" t="s">
        <v>110</v>
      </c>
      <c r="D72" s="15" t="s">
        <v>111</v>
      </c>
      <c r="E72" s="27">
        <v>200000</v>
      </c>
      <c r="F72" s="27">
        <v>100000</v>
      </c>
      <c r="G72" s="39">
        <f t="shared" si="2"/>
        <v>0.5</v>
      </c>
      <c r="H72" s="15" t="s">
        <v>178</v>
      </c>
    </row>
    <row r="73" spans="2:8" x14ac:dyDescent="0.25">
      <c r="B73" s="15" t="s">
        <v>100</v>
      </c>
      <c r="C73" s="16" t="s">
        <v>112</v>
      </c>
      <c r="D73" s="15"/>
      <c r="E73" s="11">
        <v>30</v>
      </c>
      <c r="F73" s="11">
        <v>30</v>
      </c>
      <c r="G73" s="39">
        <f t="shared" ref="G73:G81" si="4">IFERROR(F73/E73,1)</f>
        <v>1</v>
      </c>
      <c r="H73" s="15"/>
    </row>
    <row r="74" spans="2:8" x14ac:dyDescent="0.25">
      <c r="B74" s="15" t="s">
        <v>100</v>
      </c>
      <c r="C74" s="16" t="s">
        <v>113</v>
      </c>
      <c r="D74" s="15"/>
      <c r="E74" s="11">
        <v>2</v>
      </c>
      <c r="F74" s="11">
        <v>2</v>
      </c>
      <c r="G74" s="39">
        <f t="shared" si="4"/>
        <v>1</v>
      </c>
      <c r="H74" s="15"/>
    </row>
    <row r="75" spans="2:8" x14ac:dyDescent="0.25">
      <c r="B75" s="15" t="s">
        <v>100</v>
      </c>
      <c r="C75" s="16" t="s">
        <v>114</v>
      </c>
      <c r="D75" s="15" t="s">
        <v>115</v>
      </c>
      <c r="E75" s="11">
        <v>0</v>
      </c>
      <c r="F75" s="11">
        <v>0</v>
      </c>
      <c r="G75" s="39">
        <f t="shared" si="4"/>
        <v>1</v>
      </c>
      <c r="H75" s="15" t="s">
        <v>115</v>
      </c>
    </row>
    <row r="76" spans="2:8" x14ac:dyDescent="0.25">
      <c r="B76" s="15" t="s">
        <v>100</v>
      </c>
      <c r="C76" s="16" t="s">
        <v>116</v>
      </c>
      <c r="D76" s="15"/>
      <c r="E76" s="11">
        <v>1</v>
      </c>
      <c r="F76" s="11">
        <v>1</v>
      </c>
      <c r="G76" s="39">
        <f t="shared" si="4"/>
        <v>1</v>
      </c>
      <c r="H76" s="15"/>
    </row>
    <row r="77" spans="2:8" x14ac:dyDescent="0.25">
      <c r="B77" s="15" t="s">
        <v>100</v>
      </c>
      <c r="C77" s="16" t="s">
        <v>117</v>
      </c>
      <c r="D77" s="15" t="s">
        <v>118</v>
      </c>
      <c r="E77" s="11">
        <f>E4*E67*1000000000*(E68+E69)*(E70*4.345)</f>
        <v>5.86575E+18</v>
      </c>
      <c r="F77" s="11">
        <f>F4*F67*1000000000*(F68+F69)*(F70*4.345)</f>
        <v>2.1507750000000002E+20</v>
      </c>
      <c r="G77" s="39">
        <f t="shared" si="4"/>
        <v>36.666666666666671</v>
      </c>
      <c r="H77" s="15" t="s">
        <v>118</v>
      </c>
    </row>
    <row r="78" spans="2:8" x14ac:dyDescent="0.25">
      <c r="B78" s="15" t="s">
        <v>100</v>
      </c>
      <c r="C78" s="16" t="s">
        <v>119</v>
      </c>
      <c r="D78" s="15" t="s">
        <v>38</v>
      </c>
      <c r="E78" s="11">
        <f>E77*E71</f>
        <v>1.759725E+19</v>
      </c>
      <c r="F78" s="11">
        <f>F77*F71</f>
        <v>6.4523250000000005E+20</v>
      </c>
      <c r="G78" s="39">
        <f t="shared" si="4"/>
        <v>36.666666666666671</v>
      </c>
      <c r="H78" s="15" t="s">
        <v>38</v>
      </c>
    </row>
    <row r="79" spans="2:8" x14ac:dyDescent="0.25">
      <c r="B79" s="15" t="s">
        <v>100</v>
      </c>
      <c r="C79" s="16" t="s">
        <v>120</v>
      </c>
      <c r="D79" s="15" t="s">
        <v>38</v>
      </c>
      <c r="E79" s="11">
        <f>E72*1000000000000*E73*E74</f>
        <v>1.2E+19</v>
      </c>
      <c r="F79" s="11">
        <f>F72*1000000000000*F73*F74</f>
        <v>6E+18</v>
      </c>
      <c r="G79" s="39">
        <f t="shared" si="4"/>
        <v>0.5</v>
      </c>
      <c r="H79" s="15" t="s">
        <v>38</v>
      </c>
    </row>
    <row r="80" spans="2:8" x14ac:dyDescent="0.25">
      <c r="B80" s="15" t="s">
        <v>100</v>
      </c>
      <c r="C80" s="16" t="s">
        <v>121</v>
      </c>
      <c r="D80" s="15" t="s">
        <v>38</v>
      </c>
      <c r="E80" s="11">
        <f>E75*1000000000000*E76</f>
        <v>0</v>
      </c>
      <c r="F80" s="11">
        <f>F75*1000000000000*F76</f>
        <v>0</v>
      </c>
      <c r="G80" s="39">
        <f t="shared" si="4"/>
        <v>1</v>
      </c>
      <c r="H80" s="15" t="s">
        <v>38</v>
      </c>
    </row>
    <row r="81" spans="2:8" x14ac:dyDescent="0.25">
      <c r="B81" s="15" t="s">
        <v>100</v>
      </c>
      <c r="C81" s="16" t="s">
        <v>122</v>
      </c>
      <c r="D81" s="15" t="s">
        <v>38</v>
      </c>
      <c r="E81" s="11">
        <f>E78+E79+E80</f>
        <v>2.959725E+19</v>
      </c>
      <c r="F81" s="11">
        <f>F78+F79+F80</f>
        <v>6.5123250000000005E+20</v>
      </c>
      <c r="G81" s="39">
        <f t="shared" si="4"/>
        <v>22.003142183817754</v>
      </c>
      <c r="H81" s="15" t="s">
        <v>38</v>
      </c>
    </row>
    <row r="82" spans="2:8" x14ac:dyDescent="0.25">
      <c r="B82" s="15"/>
      <c r="C82" s="16"/>
      <c r="D82" s="15"/>
      <c r="E82" s="11"/>
    </row>
    <row r="87" spans="2:8" x14ac:dyDescent="0.25">
      <c r="E87" s="17">
        <v>4500000000000</v>
      </c>
    </row>
  </sheetData>
  <conditionalFormatting sqref="G4:G81">
    <cfRule type="cellIs" dxfId="0" priority="1" operator="greaterThan">
      <formula>1</formula>
    </cfRule>
  </conditionalFormatting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U76"/>
  <sheetViews>
    <sheetView showGridLines="0" tabSelected="1" workbookViewId="0"/>
  </sheetViews>
  <sheetFormatPr defaultRowHeight="15" outlineLevelRow="1" outlineLevelCol="1" x14ac:dyDescent="0.25"/>
  <cols>
    <col min="1" max="1" width="2.5703125" style="40" customWidth="1"/>
    <col min="2" max="2" width="12.28515625" style="40" customWidth="1"/>
    <col min="3" max="3" width="38" style="40" customWidth="1"/>
    <col min="4" max="5" width="30.7109375" style="40" customWidth="1"/>
    <col min="6" max="7" width="30.7109375" style="40" hidden="1" customWidth="1" outlineLevel="1"/>
    <col min="8" max="8" width="5.7109375" style="40" customWidth="1" collapsed="1"/>
    <col min="9" max="9" width="18.5703125" style="40" bestFit="1" customWidth="1"/>
    <col min="10" max="11" width="15.7109375" style="40" customWidth="1"/>
    <col min="12" max="12" width="1.7109375" style="40" customWidth="1"/>
    <col min="13" max="14" width="14" style="40" customWidth="1"/>
    <col min="15" max="15" width="29" style="40" customWidth="1"/>
    <col min="16" max="16" width="2.5703125" style="40" customWidth="1"/>
    <col min="17" max="17" width="1.7109375" style="40" customWidth="1"/>
    <col min="18" max="19" width="9.140625" style="40"/>
    <col min="20" max="20" width="11.140625" style="40" bestFit="1" customWidth="1"/>
    <col min="21" max="16384" width="9.140625" style="40"/>
  </cols>
  <sheetData>
    <row r="1" spans="1:17" x14ac:dyDescent="0.25">
      <c r="A1" s="40" t="s">
        <v>177</v>
      </c>
      <c r="L1" s="40" t="s">
        <v>177</v>
      </c>
      <c r="Q1" s="40" t="s">
        <v>177</v>
      </c>
    </row>
    <row r="2" spans="1:17" x14ac:dyDescent="0.25">
      <c r="B2" s="129" t="s">
        <v>232</v>
      </c>
      <c r="C2" s="130"/>
      <c r="D2" s="133">
        <v>1000</v>
      </c>
    </row>
    <row r="3" spans="1:17" x14ac:dyDescent="0.25">
      <c r="B3" s="128" t="s">
        <v>230</v>
      </c>
      <c r="C3" s="136"/>
      <c r="D3" s="132">
        <v>0.15</v>
      </c>
    </row>
    <row r="4" spans="1:17" x14ac:dyDescent="0.25">
      <c r="B4" s="131" t="s">
        <v>233</v>
      </c>
      <c r="C4" s="137"/>
      <c r="D4" s="138">
        <v>10</v>
      </c>
    </row>
    <row r="6" spans="1:17" x14ac:dyDescent="0.25">
      <c r="B6" s="81" t="s">
        <v>123</v>
      </c>
      <c r="C6" s="81" t="s">
        <v>124</v>
      </c>
      <c r="D6" s="81" t="s">
        <v>207</v>
      </c>
      <c r="E6" s="81" t="s">
        <v>206</v>
      </c>
      <c r="F6" s="81" t="s">
        <v>125</v>
      </c>
      <c r="G6" s="81" t="s">
        <v>126</v>
      </c>
      <c r="H6" s="42"/>
      <c r="I6" s="81" t="s">
        <v>208</v>
      </c>
      <c r="J6" s="81" t="s">
        <v>184</v>
      </c>
      <c r="K6" s="81" t="s">
        <v>127</v>
      </c>
      <c r="L6" s="42"/>
      <c r="M6" s="42"/>
      <c r="N6" s="41" t="s">
        <v>128</v>
      </c>
      <c r="O6" s="41" t="s">
        <v>129</v>
      </c>
      <c r="P6" s="41"/>
    </row>
    <row r="7" spans="1:17" x14ac:dyDescent="0.25">
      <c r="B7" s="40" t="s">
        <v>4</v>
      </c>
      <c r="C7" s="40" t="str">
        <f>Inputs!C10</f>
        <v>Input tokens / request</v>
      </c>
      <c r="D7" s="43">
        <f>Inputs!E10</f>
        <v>500</v>
      </c>
      <c r="E7" s="43">
        <f>Inputs!F10</f>
        <v>35000</v>
      </c>
      <c r="F7" s="44">
        <f t="shared" ref="F7" si="0">SUM(D7:E7)/1024^4</f>
        <v>3.2287061912938952E-8</v>
      </c>
      <c r="G7" s="44">
        <f t="shared" ref="G7" si="1">F7/1024</f>
        <v>3.1530333899354446E-11</v>
      </c>
      <c r="H7" s="44"/>
      <c r="I7" s="44">
        <f t="shared" ref="I7" si="2">D7/1024^6</f>
        <v>4.3368086899420177E-16</v>
      </c>
      <c r="J7" s="44">
        <f t="shared" ref="J7" si="3">E7/1024^6</f>
        <v>3.0357660829594124E-14</v>
      </c>
      <c r="K7" s="44">
        <f t="shared" ref="K7" si="4">SUM(I7:J7)</f>
        <v>3.0791341698588326E-14</v>
      </c>
    </row>
    <row r="8" spans="1:17" x14ac:dyDescent="0.25">
      <c r="B8" s="40" t="s">
        <v>4</v>
      </c>
      <c r="C8" s="40" t="str">
        <f>"(+) "&amp;Inputs!C11</f>
        <v>(+) RAG tokens / request</v>
      </c>
      <c r="D8" s="43">
        <f>Inputs!E11</f>
        <v>1000</v>
      </c>
      <c r="E8" s="43">
        <f>Inputs!F11</f>
        <v>50000</v>
      </c>
      <c r="F8" s="44">
        <f t="shared" ref="F8:F12" si="5">SUM(D8:E8)/1024^4</f>
        <v>4.638422979041934E-8</v>
      </c>
      <c r="G8" s="44">
        <f t="shared" ref="G8:G12" si="6">F8/1024</f>
        <v>4.5297099404706387E-11</v>
      </c>
      <c r="H8" s="44"/>
      <c r="I8" s="44">
        <f t="shared" ref="I8:I12" si="7">D8/1024^6</f>
        <v>8.6736173798840355E-16</v>
      </c>
      <c r="J8" s="44">
        <f t="shared" ref="J8:J12" si="8">E8/1024^6</f>
        <v>4.3368086899420177E-14</v>
      </c>
      <c r="K8" s="44">
        <f t="shared" ref="K8:K12" si="9">SUM(I8:J8)</f>
        <v>4.4235448637408581E-14</v>
      </c>
    </row>
    <row r="9" spans="1:17" x14ac:dyDescent="0.25">
      <c r="B9" s="40" t="s">
        <v>4</v>
      </c>
      <c r="C9" s="40" t="str">
        <f>"(+) "&amp;Inputs!C12</f>
        <v>(+) Output tokens / request</v>
      </c>
      <c r="D9" s="43">
        <f>Inputs!E12</f>
        <v>166.66666666666666</v>
      </c>
      <c r="E9" s="43">
        <f>Inputs!F12</f>
        <v>5000</v>
      </c>
      <c r="F9" s="44">
        <f t="shared" si="5"/>
        <v>4.6990559591601295E-9</v>
      </c>
      <c r="G9" s="44">
        <f t="shared" si="6"/>
        <v>4.588921835117314E-12</v>
      </c>
      <c r="H9" s="44"/>
      <c r="I9" s="44">
        <f t="shared" si="7"/>
        <v>1.4456028966473392E-16</v>
      </c>
      <c r="J9" s="44">
        <f t="shared" si="8"/>
        <v>4.3368086899420177E-15</v>
      </c>
      <c r="K9" s="44">
        <f t="shared" si="9"/>
        <v>4.4813689796067519E-15</v>
      </c>
    </row>
    <row r="10" spans="1:17" x14ac:dyDescent="0.25">
      <c r="B10" s="45" t="s">
        <v>4</v>
      </c>
      <c r="C10" s="45" t="s">
        <v>198</v>
      </c>
      <c r="D10" s="46">
        <f t="shared" ref="D10:E10" si="10">SUM(D7:D9)</f>
        <v>1666.6666666666667</v>
      </c>
      <c r="E10" s="46">
        <f t="shared" si="10"/>
        <v>90000</v>
      </c>
      <c r="F10" s="47">
        <f t="shared" si="5"/>
        <v>8.3370347662518426E-8</v>
      </c>
      <c r="G10" s="47">
        <f t="shared" si="6"/>
        <v>8.1416355139178151E-11</v>
      </c>
      <c r="H10" s="48"/>
      <c r="I10" s="47">
        <f t="shared" si="7"/>
        <v>1.4456028966473393E-15</v>
      </c>
      <c r="J10" s="47">
        <f t="shared" si="8"/>
        <v>7.8062556418956319E-14</v>
      </c>
      <c r="K10" s="47">
        <f t="shared" si="9"/>
        <v>7.9508159315603663E-14</v>
      </c>
    </row>
    <row r="11" spans="1:17" x14ac:dyDescent="0.25">
      <c r="B11" s="40" t="s">
        <v>4</v>
      </c>
      <c r="C11" s="40" t="str">
        <f>"(x) "&amp;Inputs!C9</f>
        <v>(x) Peak QPS</v>
      </c>
      <c r="D11" s="43">
        <f>Inputs!E9</f>
        <v>104166.66666666667</v>
      </c>
      <c r="E11" s="43">
        <f>Inputs!F9</f>
        <v>520833.33333333331</v>
      </c>
      <c r="F11" s="44">
        <f t="shared" si="5"/>
        <v>5.6843418860808015E-7</v>
      </c>
      <c r="G11" s="44">
        <f t="shared" si="6"/>
        <v>5.5511151231257827E-10</v>
      </c>
      <c r="H11" s="44"/>
      <c r="I11" s="44">
        <f t="shared" si="7"/>
        <v>9.0350181040458707E-14</v>
      </c>
      <c r="J11" s="44">
        <f t="shared" si="8"/>
        <v>4.517509052022935E-13</v>
      </c>
      <c r="K11" s="44">
        <f t="shared" si="9"/>
        <v>5.4210108624275222E-13</v>
      </c>
    </row>
    <row r="12" spans="1:17" x14ac:dyDescent="0.25">
      <c r="B12" s="45" t="s">
        <v>4</v>
      </c>
      <c r="C12" s="45" t="s">
        <v>199</v>
      </c>
      <c r="D12" s="46">
        <f t="shared" ref="D12:E12" si="11">D10*D11*86400</f>
        <v>15000000000000.002</v>
      </c>
      <c r="E12" s="46">
        <f t="shared" si="11"/>
        <v>4050000000000000</v>
      </c>
      <c r="F12" s="47">
        <f t="shared" si="5"/>
        <v>3697.0959627069533</v>
      </c>
      <c r="G12" s="47">
        <f t="shared" si="6"/>
        <v>3.6104452760810091</v>
      </c>
      <c r="H12" s="48"/>
      <c r="I12" s="47">
        <f t="shared" si="7"/>
        <v>1.3010426069826055E-5</v>
      </c>
      <c r="J12" s="47">
        <f t="shared" si="8"/>
        <v>3.5128150388530344E-3</v>
      </c>
      <c r="K12" s="47">
        <f t="shared" si="9"/>
        <v>3.5258254649228604E-3</v>
      </c>
    </row>
    <row r="14" spans="1:17" x14ac:dyDescent="0.25">
      <c r="B14" s="40" t="s">
        <v>193</v>
      </c>
      <c r="C14" s="40" t="s">
        <v>190</v>
      </c>
      <c r="D14" s="43">
        <f>Inputs!E16</f>
        <v>300000</v>
      </c>
      <c r="E14" s="43">
        <f>Inputs!F16</f>
        <v>520833.33333333331</v>
      </c>
      <c r="F14" s="44">
        <f t="shared" ref="F14:F18" si="12">SUM(D14:E14)/1024^4</f>
        <v>7.4654356770527852E-7</v>
      </c>
      <c r="G14" s="44">
        <f t="shared" ref="G14:G18" si="13">F14/1024</f>
        <v>7.2904645283718606E-10</v>
      </c>
      <c r="H14" s="44"/>
      <c r="I14" s="44">
        <f t="shared" ref="I14:I18" si="14">D14/1024^6</f>
        <v>2.6020852139652106E-13</v>
      </c>
      <c r="J14" s="44">
        <f t="shared" ref="J14:J18" si="15">E14/1024^6</f>
        <v>4.517509052022935E-13</v>
      </c>
      <c r="K14" s="44">
        <f t="shared" ref="K14:K18" si="16">SUM(I14:J14)</f>
        <v>7.1195942659881451E-13</v>
      </c>
    </row>
    <row r="15" spans="1:17" x14ac:dyDescent="0.25">
      <c r="B15" s="40" t="s">
        <v>193</v>
      </c>
      <c r="C15" s="40" t="s">
        <v>191</v>
      </c>
      <c r="D15" s="43">
        <f>Inputs!E17</f>
        <v>1500000</v>
      </c>
      <c r="E15" s="43">
        <f>Inputs!F17</f>
        <v>43402777.777777776</v>
      </c>
      <c r="F15" s="44">
        <f t="shared" si="12"/>
        <v>4.0838838483776068E-5</v>
      </c>
      <c r="G15" s="44">
        <f t="shared" si="13"/>
        <v>3.9881678206812566E-8</v>
      </c>
      <c r="H15" s="44"/>
      <c r="I15" s="44">
        <f t="shared" si="14"/>
        <v>1.3010426069826053E-12</v>
      </c>
      <c r="J15" s="44">
        <f t="shared" si="15"/>
        <v>3.7645908766857791E-11</v>
      </c>
      <c r="K15" s="44">
        <f t="shared" si="16"/>
        <v>3.8946951373840397E-11</v>
      </c>
    </row>
    <row r="16" spans="1:17" x14ac:dyDescent="0.25">
      <c r="B16" s="45" t="s">
        <v>193</v>
      </c>
      <c r="C16" s="45" t="s">
        <v>192</v>
      </c>
      <c r="D16" s="46">
        <f>SUM(D14:D15)</f>
        <v>1800000</v>
      </c>
      <c r="E16" s="46">
        <f>SUM(E14:E15)</f>
        <v>43923611.111111112</v>
      </c>
      <c r="F16" s="47">
        <f t="shared" si="12"/>
        <v>4.1585382051481349E-5</v>
      </c>
      <c r="G16" s="47">
        <f t="shared" si="13"/>
        <v>4.0610724659649755E-8</v>
      </c>
      <c r="H16" s="48"/>
      <c r="I16" s="47">
        <f t="shared" si="14"/>
        <v>1.5612511283791264E-12</v>
      </c>
      <c r="J16" s="47">
        <f t="shared" si="15"/>
        <v>3.8097659672060087E-11</v>
      </c>
      <c r="K16" s="47">
        <f t="shared" si="16"/>
        <v>3.9658910800439213E-11</v>
      </c>
    </row>
    <row r="17" spans="2:11" x14ac:dyDescent="0.25">
      <c r="B17" s="40" t="s">
        <v>194</v>
      </c>
      <c r="C17" s="40" t="str">
        <f>"(x) "&amp;Inputs!C26</f>
        <v>(x) Live KV / sequence</v>
      </c>
      <c r="D17" s="43">
        <f>Inputs!E26</f>
        <v>402653184</v>
      </c>
      <c r="E17" s="43">
        <f>Inputs!F26</f>
        <v>402653184</v>
      </c>
      <c r="F17" s="44">
        <f t="shared" si="12"/>
        <v>7.32421875E-4</v>
      </c>
      <c r="G17" s="44">
        <f t="shared" si="13"/>
        <v>7.152557373046875E-7</v>
      </c>
      <c r="H17" s="44"/>
      <c r="I17" s="44">
        <f t="shared" si="14"/>
        <v>3.4924596548080444E-10</v>
      </c>
      <c r="J17" s="44">
        <f t="shared" si="15"/>
        <v>3.4924596548080444E-10</v>
      </c>
      <c r="K17" s="44">
        <f t="shared" si="16"/>
        <v>6.9849193096160889E-10</v>
      </c>
    </row>
    <row r="18" spans="2:11" x14ac:dyDescent="0.25">
      <c r="B18" s="45" t="s">
        <v>194</v>
      </c>
      <c r="C18" s="45" t="str">
        <f>Inputs!C27</f>
        <v>Live KV total (all active seqs)</v>
      </c>
      <c r="D18" s="46">
        <f>Inputs!E27</f>
        <v>724775731200000</v>
      </c>
      <c r="E18" s="46">
        <f>Inputs!F27</f>
        <v>1.7685981866666668E+16</v>
      </c>
      <c r="F18" s="47">
        <f t="shared" si="12"/>
        <v>16744.486490885418</v>
      </c>
      <c r="G18" s="47">
        <f t="shared" si="13"/>
        <v>16.352037588755291</v>
      </c>
      <c r="H18" s="48"/>
      <c r="I18" s="47">
        <f t="shared" si="14"/>
        <v>6.28642737865448E-4</v>
      </c>
      <c r="J18" s="47">
        <f t="shared" si="15"/>
        <v>1.5340143969903391E-2</v>
      </c>
      <c r="K18" s="47">
        <f t="shared" si="16"/>
        <v>1.5968786707768839E-2</v>
      </c>
    </row>
    <row r="19" spans="2:11" x14ac:dyDescent="0.25">
      <c r="C19" s="49" t="s">
        <v>196</v>
      </c>
      <c r="D19" s="50">
        <f>Inputs!E28</f>
        <v>0.5</v>
      </c>
      <c r="E19" s="50">
        <f>Inputs!F28</f>
        <v>0.5</v>
      </c>
    </row>
    <row r="20" spans="2:11" x14ac:dyDescent="0.25">
      <c r="C20" s="49" t="s">
        <v>197</v>
      </c>
      <c r="D20" s="50">
        <f>Inputs!E29</f>
        <v>0.5</v>
      </c>
      <c r="E20" s="50">
        <f>Inputs!F29</f>
        <v>0.5</v>
      </c>
    </row>
    <row r="22" spans="2:11" x14ac:dyDescent="0.25">
      <c r="B22" s="40" t="s">
        <v>24</v>
      </c>
      <c r="C22" s="40" t="s">
        <v>202</v>
      </c>
      <c r="D22" s="43">
        <f>Inputs!E34</f>
        <v>24</v>
      </c>
      <c r="E22" s="43">
        <f>Inputs!F34</f>
        <v>24</v>
      </c>
      <c r="F22" s="43"/>
      <c r="G22" s="43"/>
      <c r="I22" s="43"/>
      <c r="J22" s="43"/>
      <c r="K22" s="43"/>
    </row>
    <row r="23" spans="2:11" x14ac:dyDescent="0.25">
      <c r="B23" s="40" t="s">
        <v>24</v>
      </c>
      <c r="C23" s="40" t="s">
        <v>200</v>
      </c>
      <c r="D23" s="51">
        <f>Inputs!E35</f>
        <v>0.5</v>
      </c>
      <c r="E23" s="51">
        <f>Inputs!F35</f>
        <v>0.85</v>
      </c>
    </row>
    <row r="24" spans="2:11" x14ac:dyDescent="0.25">
      <c r="B24" s="40" t="s">
        <v>24</v>
      </c>
      <c r="C24" s="40" t="s">
        <v>201</v>
      </c>
      <c r="D24" s="43">
        <f>Inputs!E23</f>
        <v>393216</v>
      </c>
      <c r="E24" s="43">
        <f>Inputs!F23</f>
        <v>393216</v>
      </c>
    </row>
    <row r="25" spans="2:11" x14ac:dyDescent="0.25">
      <c r="B25" s="40" t="s">
        <v>24</v>
      </c>
      <c r="C25" s="40" t="str">
        <f>"(x) "&amp;C12</f>
        <v>(x) Peak-day Tokens Processed</v>
      </c>
      <c r="D25" s="43">
        <f t="shared" ref="D25:E25" si="17">D12</f>
        <v>15000000000000.002</v>
      </c>
      <c r="E25" s="43">
        <f t="shared" si="17"/>
        <v>4050000000000000</v>
      </c>
    </row>
    <row r="26" spans="2:11" x14ac:dyDescent="0.25">
      <c r="B26" s="76" t="s">
        <v>24</v>
      </c>
      <c r="C26" s="45" t="s">
        <v>203</v>
      </c>
      <c r="D26" s="46">
        <f t="shared" ref="D26:E26" si="18">PRODUCT(D22:D25)/24</f>
        <v>2.9491200000000005E+18</v>
      </c>
      <c r="E26" s="46">
        <f t="shared" si="18"/>
        <v>1.3536460799999997E+21</v>
      </c>
      <c r="F26" s="46">
        <f t="shared" ref="F26" si="19">SUM(D26:E26)/1024^4</f>
        <v>1233816146.8505857</v>
      </c>
      <c r="G26" s="47">
        <f t="shared" ref="G26" si="20">F26/1024</f>
        <v>1204898.5809087751</v>
      </c>
      <c r="H26" s="48"/>
      <c r="I26" s="47">
        <f t="shared" ref="I26" si="21">D26/1024^6</f>
        <v>2.5579538487363611</v>
      </c>
      <c r="J26" s="47">
        <f t="shared" ref="J26" si="22">E26/1024^6</f>
        <v>1174.1008165699893</v>
      </c>
      <c r="K26" s="47">
        <f t="shared" ref="K26" si="23">SUM(I26:J26)</f>
        <v>1176.6587704187257</v>
      </c>
    </row>
    <row r="27" spans="2:11" x14ac:dyDescent="0.25">
      <c r="B27" s="40" t="s">
        <v>24</v>
      </c>
      <c r="C27" s="40" t="s">
        <v>204</v>
      </c>
      <c r="D27" s="51">
        <f>Inputs!E36</f>
        <v>0.6</v>
      </c>
      <c r="E27" s="51">
        <f>Inputs!F36</f>
        <v>0.4</v>
      </c>
    </row>
    <row r="28" spans="2:11" x14ac:dyDescent="0.25">
      <c r="B28" s="45" t="s">
        <v>70</v>
      </c>
      <c r="C28" s="45" t="s">
        <v>205</v>
      </c>
      <c r="D28" s="46">
        <f>D26*D27</f>
        <v>1.7694720000000003E+18</v>
      </c>
      <c r="E28" s="46">
        <f>E26*E27</f>
        <v>5.4145843199999993E+20</v>
      </c>
      <c r="F28" s="46">
        <f t="shared" ref="F28:F29" si="24">SUM(D28:E28)/1024^4</f>
        <v>494062900.54321283</v>
      </c>
      <c r="G28" s="47">
        <f t="shared" ref="G28:G29" si="25">F28/1024</f>
        <v>482483.30131173128</v>
      </c>
      <c r="H28" s="48"/>
      <c r="I28" s="47">
        <f t="shared" ref="I28:I29" si="26">D28/1024^6</f>
        <v>1.5347723092418166</v>
      </c>
      <c r="J28" s="47">
        <f t="shared" ref="J28:J29" si="27">E28/1024^6</f>
        <v>469.64032662799576</v>
      </c>
      <c r="K28" s="47">
        <f t="shared" ref="K28:K29" si="28">SUM(I28:J28)</f>
        <v>471.17509893723758</v>
      </c>
    </row>
    <row r="29" spans="2:11" x14ac:dyDescent="0.25">
      <c r="B29" s="52" t="s">
        <v>73</v>
      </c>
      <c r="C29" s="52" t="s">
        <v>205</v>
      </c>
      <c r="D29" s="53">
        <f t="shared" ref="D29:E29" si="29">D26-D28</f>
        <v>1.1796480000000003E+18</v>
      </c>
      <c r="E29" s="53">
        <f t="shared" si="29"/>
        <v>8.1218764799999974E+20</v>
      </c>
      <c r="F29" s="53">
        <f t="shared" si="24"/>
        <v>739753246.30737281</v>
      </c>
      <c r="G29" s="48">
        <f t="shared" si="25"/>
        <v>722415.27959704376</v>
      </c>
      <c r="H29" s="48"/>
      <c r="I29" s="48">
        <f t="shared" si="26"/>
        <v>1.0231815394945445</v>
      </c>
      <c r="J29" s="48">
        <f t="shared" si="27"/>
        <v>704.4604899419935</v>
      </c>
      <c r="K29" s="48">
        <f t="shared" si="28"/>
        <v>705.48367148148805</v>
      </c>
    </row>
    <row r="31" spans="2:11" x14ac:dyDescent="0.25">
      <c r="B31" s="40" t="s">
        <v>210</v>
      </c>
      <c r="C31" s="40" t="s">
        <v>63</v>
      </c>
      <c r="D31" s="54">
        <f>Inputs!E44</f>
        <v>131250</v>
      </c>
      <c r="E31" s="54">
        <f>Inputs!F44</f>
        <v>2343750</v>
      </c>
      <c r="F31" s="44">
        <f t="shared" ref="F31:F32" si="30">SUM(D31:E31)/1024^4</f>
        <v>2.2509993868879974E-6</v>
      </c>
      <c r="G31" s="44">
        <f t="shared" ref="G31:G32" si="31">SUM(E31:F31)/1024^4</f>
        <v>2.1316282072823478E-6</v>
      </c>
      <c r="I31" s="59">
        <f t="shared" ref="I31:I32" si="32">D31/1024^6</f>
        <v>1.1384122811097797E-13</v>
      </c>
      <c r="J31" s="59">
        <f t="shared" ref="J31:J32" si="33">E31/1024^6</f>
        <v>2.0328790734103208E-12</v>
      </c>
      <c r="K31" s="59">
        <f t="shared" ref="K31:K32" si="34">F31/1024^6</f>
        <v>1.9524307404220042E-24</v>
      </c>
    </row>
    <row r="32" spans="2:11" x14ac:dyDescent="0.25">
      <c r="B32" s="40" t="s">
        <v>210</v>
      </c>
      <c r="C32" s="40" t="s">
        <v>209</v>
      </c>
      <c r="D32" s="54">
        <f>Inputs!E48*10^12</f>
        <v>100000000000000</v>
      </c>
      <c r="E32" s="54">
        <f>Inputs!F48*10^12</f>
        <v>100000000000000</v>
      </c>
      <c r="F32" s="44">
        <f t="shared" si="30"/>
        <v>181.89894035458565</v>
      </c>
      <c r="G32" s="44">
        <f t="shared" si="31"/>
        <v>90.949470177458267</v>
      </c>
      <c r="I32" s="59">
        <f t="shared" si="32"/>
        <v>8.6736173798840355E-5</v>
      </c>
      <c r="J32" s="59">
        <f t="shared" si="33"/>
        <v>8.6736173798840355E-5</v>
      </c>
      <c r="K32" s="59">
        <f t="shared" si="34"/>
        <v>1.5777218104420236E-16</v>
      </c>
    </row>
    <row r="33" spans="1:16" x14ac:dyDescent="0.25">
      <c r="B33" s="45" t="s">
        <v>73</v>
      </c>
      <c r="C33" s="45" t="s">
        <v>74</v>
      </c>
      <c r="D33" s="55">
        <f t="shared" ref="D33:E33" si="35">D31*D32</f>
        <v>1.3125E+19</v>
      </c>
      <c r="E33" s="55">
        <f t="shared" si="35"/>
        <v>2.34375E+20</v>
      </c>
      <c r="F33" s="47">
        <f t="shared" ref="F33" si="36">F31*F32</f>
        <v>4.094544032137487E-4</v>
      </c>
      <c r="G33" s="47">
        <f t="shared" ref="G33" si="37">G31*G32</f>
        <v>1.9387045606765471E-4</v>
      </c>
      <c r="H33" s="44"/>
      <c r="I33" s="47">
        <f t="shared" ref="I33" si="38">I31*I32</f>
        <v>9.8741525469072151E-18</v>
      </c>
      <c r="J33" s="47">
        <f t="shared" ref="J33" si="39">J31*J32</f>
        <v>1.7632415262334313E-16</v>
      </c>
      <c r="K33" s="47">
        <f t="shared" ref="K33" si="40">K31*K32</f>
        <v>3.0803925625412651E-40</v>
      </c>
    </row>
    <row r="35" spans="1:16" x14ac:dyDescent="0.25">
      <c r="B35" s="40" t="s">
        <v>148</v>
      </c>
      <c r="C35" s="40" t="s">
        <v>211</v>
      </c>
      <c r="D35" s="43">
        <f>Inputs!E4</f>
        <v>1000000000</v>
      </c>
      <c r="E35" s="43">
        <f>Inputs!F4</f>
        <v>1500000000</v>
      </c>
      <c r="F35" s="43"/>
      <c r="G35" s="43"/>
    </row>
    <row r="36" spans="1:16" x14ac:dyDescent="0.25">
      <c r="B36" s="40" t="s">
        <v>148</v>
      </c>
      <c r="C36" s="40" t="s">
        <v>212</v>
      </c>
      <c r="D36" s="43">
        <f>Inputs!E67*10^9</f>
        <v>25000000</v>
      </c>
      <c r="E36" s="43">
        <f>Inputs!F67*10^9</f>
        <v>500000000</v>
      </c>
      <c r="F36" s="43"/>
      <c r="G36" s="43"/>
    </row>
    <row r="37" spans="1:16" x14ac:dyDescent="0.25">
      <c r="B37" s="40" t="s">
        <v>148</v>
      </c>
      <c r="C37" s="40" t="s">
        <v>213</v>
      </c>
      <c r="D37" s="43">
        <f>Inputs!E68+Inputs!E69</f>
        <v>4.5</v>
      </c>
      <c r="E37" s="43">
        <f>Inputs!F68+Inputs!F69</f>
        <v>5.5</v>
      </c>
      <c r="F37" s="43"/>
      <c r="G37" s="43"/>
    </row>
    <row r="38" spans="1:16" x14ac:dyDescent="0.25">
      <c r="B38" s="40" t="s">
        <v>148</v>
      </c>
      <c r="C38" s="40" t="s">
        <v>214</v>
      </c>
      <c r="D38" s="43">
        <f>Inputs!E70</f>
        <v>12</v>
      </c>
      <c r="E38" s="43">
        <f>Inputs!F70</f>
        <v>12</v>
      </c>
      <c r="F38" s="43"/>
      <c r="G38" s="43"/>
    </row>
    <row r="39" spans="1:16" x14ac:dyDescent="0.25">
      <c r="B39" s="40" t="s">
        <v>148</v>
      </c>
      <c r="C39" s="40" t="s">
        <v>215</v>
      </c>
      <c r="D39" s="43">
        <f>Inputs!E71</f>
        <v>3</v>
      </c>
      <c r="E39" s="43">
        <f>Inputs!F71</f>
        <v>3</v>
      </c>
      <c r="F39" s="43"/>
      <c r="G39" s="43"/>
    </row>
    <row r="40" spans="1:16" x14ac:dyDescent="0.25">
      <c r="B40" s="45" t="s">
        <v>148</v>
      </c>
      <c r="C40" s="45" t="s">
        <v>216</v>
      </c>
      <c r="D40" s="46">
        <f t="shared" ref="D40:E40" si="41">D35*D36*D37*D38*4.345*D39</f>
        <v>1.759725E+19</v>
      </c>
      <c r="E40" s="46">
        <f t="shared" si="41"/>
        <v>6.4523249999999992E+20</v>
      </c>
      <c r="F40" s="46">
        <f t="shared" ref="F40:F42" si="42">SUM(D40:E40)/1024^4</f>
        <v>602840145.8024745</v>
      </c>
      <c r="G40" s="46">
        <f t="shared" ref="G40:G42" si="43">SUM(E40:F40)/1024^4</f>
        <v>586835540.16224909</v>
      </c>
      <c r="I40" s="47">
        <f t="shared" ref="I40:I42" si="44">D40/1024^6</f>
        <v>15.263181343816434</v>
      </c>
      <c r="J40" s="47">
        <f t="shared" ref="J40:J42" si="45">E40/1024^6</f>
        <v>559.64998260660252</v>
      </c>
      <c r="K40" s="47">
        <f t="shared" ref="K40:K42" si="46">SUM(I40:J40)</f>
        <v>574.91316395041895</v>
      </c>
    </row>
    <row r="41" spans="1:16" x14ac:dyDescent="0.25">
      <c r="B41" s="40" t="s">
        <v>148</v>
      </c>
      <c r="C41" s="40" t="s">
        <v>217</v>
      </c>
      <c r="D41" s="43">
        <f>Inputs!E79</f>
        <v>1.2E+19</v>
      </c>
      <c r="E41" s="43">
        <f>Inputs!F79</f>
        <v>6E+18</v>
      </c>
      <c r="F41" s="43">
        <f t="shared" si="42"/>
        <v>16370904.631912708</v>
      </c>
      <c r="G41" s="43">
        <f t="shared" si="43"/>
        <v>5456968.2106524585</v>
      </c>
      <c r="I41" s="44">
        <f t="shared" si="44"/>
        <v>10.408340855860843</v>
      </c>
      <c r="J41" s="44">
        <f t="shared" si="45"/>
        <v>5.2041704279304213</v>
      </c>
      <c r="K41" s="44">
        <f t="shared" si="46"/>
        <v>15.612511283791264</v>
      </c>
    </row>
    <row r="42" spans="1:16" x14ac:dyDescent="0.25">
      <c r="B42" s="45" t="s">
        <v>148</v>
      </c>
      <c r="C42" s="45" t="s">
        <v>218</v>
      </c>
      <c r="D42" s="46">
        <f t="shared" ref="D42:E42" si="47">SUM(D40:D41)</f>
        <v>2.959725E+19</v>
      </c>
      <c r="E42" s="46">
        <f t="shared" si="47"/>
        <v>6.5123249999999992E+20</v>
      </c>
      <c r="F42" s="46">
        <f t="shared" si="42"/>
        <v>619211050.43438721</v>
      </c>
      <c r="G42" s="46">
        <f t="shared" si="43"/>
        <v>592292508.37290156</v>
      </c>
      <c r="I42" s="47">
        <f t="shared" si="44"/>
        <v>25.671522199677277</v>
      </c>
      <c r="J42" s="47">
        <f t="shared" si="45"/>
        <v>564.85415303453294</v>
      </c>
      <c r="K42" s="47">
        <f t="shared" si="46"/>
        <v>590.52567523421021</v>
      </c>
    </row>
    <row r="44" spans="1:16" ht="15" customHeight="1" x14ac:dyDescent="0.25">
      <c r="A44" s="40" t="s">
        <v>177</v>
      </c>
      <c r="B44" s="82" t="s">
        <v>123</v>
      </c>
      <c r="C44" s="81" t="s">
        <v>124</v>
      </c>
      <c r="D44" s="81" t="s">
        <v>207</v>
      </c>
      <c r="E44" s="81" t="s">
        <v>206</v>
      </c>
      <c r="F44" s="81" t="s">
        <v>125</v>
      </c>
      <c r="G44" s="81" t="s">
        <v>126</v>
      </c>
      <c r="H44" s="42"/>
      <c r="I44" s="81" t="s">
        <v>208</v>
      </c>
      <c r="J44" s="81" t="s">
        <v>184</v>
      </c>
      <c r="K44" s="81" t="s">
        <v>127</v>
      </c>
    </row>
    <row r="45" spans="1:16" x14ac:dyDescent="0.25">
      <c r="B45" s="56" t="s">
        <v>65</v>
      </c>
      <c r="C45" s="56" t="s">
        <v>130</v>
      </c>
      <c r="D45" s="57">
        <f>Inputs!E31</f>
        <v>362387865600000</v>
      </c>
      <c r="E45" s="57">
        <f>Inputs!F31</f>
        <v>8842990933333334</v>
      </c>
      <c r="F45" s="57">
        <f t="shared" ref="F45:F56" si="48">SUM(D45:E45)/1024^4</f>
        <v>8372.2432454427089</v>
      </c>
      <c r="G45" s="57">
        <f t="shared" ref="G45:G62" si="49">F45/1024</f>
        <v>8.1760187943776454</v>
      </c>
      <c r="H45" s="58"/>
      <c r="I45" s="59">
        <f t="shared" ref="I45:J62" si="50">D45/1024^6</f>
        <v>3.14321368932724E-4</v>
      </c>
      <c r="J45" s="59">
        <f t="shared" si="50"/>
        <v>7.6700719849516954E-3</v>
      </c>
      <c r="K45" s="59">
        <f t="shared" ref="K45:K62" si="51">SUM(I45:J45)</f>
        <v>7.9843933538844194E-3</v>
      </c>
      <c r="L45" s="60"/>
      <c r="M45" s="60"/>
      <c r="N45" s="56">
        <f>Inputs!E31/Inputs!E43/1024^3</f>
        <v>0.32142857142857145</v>
      </c>
      <c r="O45" s="56"/>
      <c r="P45" s="56"/>
    </row>
    <row r="46" spans="1:16" x14ac:dyDescent="0.25">
      <c r="B46" s="56" t="s">
        <v>70</v>
      </c>
      <c r="C46" s="56" t="s">
        <v>131</v>
      </c>
      <c r="D46" s="57">
        <f>Inputs!E32</f>
        <v>362387865600000</v>
      </c>
      <c r="E46" s="57">
        <f>Inputs!F32</f>
        <v>8842990933333334</v>
      </c>
      <c r="F46" s="57">
        <f t="shared" si="48"/>
        <v>8372.2432454427089</v>
      </c>
      <c r="G46" s="57">
        <f t="shared" si="49"/>
        <v>8.1760187943776454</v>
      </c>
      <c r="H46" s="58"/>
      <c r="I46" s="59">
        <f t="shared" si="50"/>
        <v>3.14321368932724E-4</v>
      </c>
      <c r="J46" s="59">
        <f t="shared" si="50"/>
        <v>7.6700719849516954E-3</v>
      </c>
      <c r="K46" s="59">
        <f t="shared" si="51"/>
        <v>7.9843933538844194E-3</v>
      </c>
      <c r="L46" s="60"/>
      <c r="M46" s="60"/>
      <c r="N46" s="56"/>
      <c r="O46" s="56"/>
      <c r="P46" s="56"/>
    </row>
    <row r="47" spans="1:16" x14ac:dyDescent="0.25">
      <c r="B47" s="56" t="s">
        <v>73</v>
      </c>
      <c r="C47" s="56" t="s">
        <v>132</v>
      </c>
      <c r="D47" s="57">
        <f>Inputs!E33</f>
        <v>0</v>
      </c>
      <c r="E47" s="57">
        <f>Inputs!F33</f>
        <v>0</v>
      </c>
      <c r="F47" s="57">
        <f t="shared" si="48"/>
        <v>0</v>
      </c>
      <c r="G47" s="57">
        <f t="shared" si="49"/>
        <v>0</v>
      </c>
      <c r="H47" s="58"/>
      <c r="I47" s="59">
        <f t="shared" si="50"/>
        <v>0</v>
      </c>
      <c r="J47" s="59">
        <f t="shared" si="50"/>
        <v>0</v>
      </c>
      <c r="K47" s="59">
        <f t="shared" si="51"/>
        <v>0</v>
      </c>
      <c r="L47" s="60"/>
      <c r="M47" s="60"/>
      <c r="N47" s="56"/>
      <c r="O47" s="56"/>
      <c r="P47" s="56"/>
    </row>
    <row r="48" spans="1:16" x14ac:dyDescent="0.25">
      <c r="B48" s="56"/>
      <c r="C48" s="56"/>
      <c r="D48" s="57"/>
      <c r="E48" s="57"/>
      <c r="F48" s="57"/>
      <c r="G48" s="57"/>
      <c r="H48" s="58"/>
      <c r="I48" s="59"/>
      <c r="J48" s="59"/>
      <c r="K48" s="59"/>
      <c r="L48" s="60"/>
      <c r="M48" s="60"/>
      <c r="N48" s="56"/>
      <c r="O48" s="56"/>
      <c r="P48" s="56"/>
    </row>
    <row r="49" spans="2:16" x14ac:dyDescent="0.25">
      <c r="B49" s="56" t="s">
        <v>70</v>
      </c>
      <c r="C49" s="56" t="s">
        <v>133</v>
      </c>
      <c r="D49" s="57">
        <f t="shared" ref="D49:E49" si="52">D28</f>
        <v>1.7694720000000003E+18</v>
      </c>
      <c r="E49" s="57">
        <f t="shared" si="52"/>
        <v>5.4145843199999993E+20</v>
      </c>
      <c r="F49" s="57">
        <f t="shared" si="48"/>
        <v>494062900.54321283</v>
      </c>
      <c r="G49" s="57">
        <f t="shared" si="49"/>
        <v>482483.30131173128</v>
      </c>
      <c r="H49" s="58"/>
      <c r="I49" s="59">
        <f t="shared" si="50"/>
        <v>1.5347723092418166</v>
      </c>
      <c r="J49" s="59">
        <f t="shared" si="50"/>
        <v>469.64032662799576</v>
      </c>
      <c r="K49" s="59">
        <f t="shared" si="51"/>
        <v>471.17509893723758</v>
      </c>
      <c r="L49" s="60"/>
      <c r="M49" s="60"/>
      <c r="N49" s="56"/>
      <c r="O49" s="56"/>
      <c r="P49" s="56"/>
    </row>
    <row r="50" spans="2:16" x14ac:dyDescent="0.25">
      <c r="B50" s="56" t="s">
        <v>73</v>
      </c>
      <c r="C50" s="56" t="s">
        <v>133</v>
      </c>
      <c r="D50" s="57">
        <f>Inputs!E56</f>
        <v>1.1796480000000003E+18</v>
      </c>
      <c r="E50" s="57">
        <f>Inputs!F56</f>
        <v>8.12187648E+20</v>
      </c>
      <c r="F50" s="57">
        <f t="shared" si="48"/>
        <v>739753246.30737305</v>
      </c>
      <c r="G50" s="57">
        <f t="shared" si="49"/>
        <v>722415.27959704399</v>
      </c>
      <c r="H50" s="58"/>
      <c r="I50" s="59">
        <f t="shared" si="50"/>
        <v>1.0231815394945445</v>
      </c>
      <c r="J50" s="59">
        <f t="shared" si="50"/>
        <v>704.46048994199373</v>
      </c>
      <c r="K50" s="59">
        <f t="shared" si="51"/>
        <v>705.48367148148827</v>
      </c>
      <c r="L50" s="60"/>
      <c r="M50" s="60"/>
      <c r="N50" s="56"/>
      <c r="O50" s="56">
        <f>Inputs!E38/Inputs!E44/1000000000000</f>
        <v>22.469485714285717</v>
      </c>
      <c r="P50" s="56"/>
    </row>
    <row r="51" spans="2:16" x14ac:dyDescent="0.25">
      <c r="B51" s="56"/>
      <c r="C51" s="56"/>
      <c r="D51" s="57"/>
      <c r="E51" s="57"/>
      <c r="F51" s="57"/>
      <c r="G51" s="57"/>
      <c r="H51" s="58"/>
      <c r="I51" s="59"/>
      <c r="J51" s="59"/>
      <c r="K51" s="59"/>
      <c r="L51" s="60"/>
      <c r="M51" s="60"/>
      <c r="N51" s="56"/>
      <c r="O51" s="56"/>
      <c r="P51" s="56"/>
    </row>
    <row r="52" spans="2:16" x14ac:dyDescent="0.25">
      <c r="B52" s="56" t="s">
        <v>65</v>
      </c>
      <c r="C52" s="56" t="s">
        <v>134</v>
      </c>
      <c r="D52" s="57">
        <f>Inputs!E50</f>
        <v>1.35291469824E+16</v>
      </c>
      <c r="E52" s="57">
        <f>Inputs!F50</f>
        <v>2.415919104E+17</v>
      </c>
      <c r="F52" s="57">
        <f t="shared" si="48"/>
        <v>232031.25</v>
      </c>
      <c r="G52" s="57">
        <f t="shared" si="49"/>
        <v>226.593017578125</v>
      </c>
      <c r="H52" s="58"/>
      <c r="I52" s="59">
        <f t="shared" si="50"/>
        <v>1.1734664440155029E-2</v>
      </c>
      <c r="J52" s="59">
        <f t="shared" si="50"/>
        <v>0.20954757928848267</v>
      </c>
      <c r="K52" s="59">
        <f t="shared" si="51"/>
        <v>0.2212822437286377</v>
      </c>
      <c r="L52" s="60"/>
      <c r="M52" s="60"/>
      <c r="N52" s="56">
        <f>Inputs!E50/Inputs!E43/1024^3</f>
        <v>12</v>
      </c>
      <c r="O52" s="56"/>
      <c r="P52" s="56"/>
    </row>
    <row r="53" spans="2:16" x14ac:dyDescent="0.25">
      <c r="B53" s="56" t="s">
        <v>65</v>
      </c>
      <c r="C53" s="56" t="s">
        <v>135</v>
      </c>
      <c r="D53" s="57">
        <f>Inputs!E65</f>
        <v>1.3473632812500002E+17</v>
      </c>
      <c r="E53" s="57">
        <f>Inputs!F65</f>
        <v>2.4060058593750001E+18</v>
      </c>
      <c r="F53" s="57">
        <f t="shared" si="48"/>
        <v>2310791.5581022101</v>
      </c>
      <c r="G53" s="57">
        <f t="shared" si="49"/>
        <v>2256.6323809591895</v>
      </c>
      <c r="H53" s="58"/>
      <c r="I53" s="59">
        <f t="shared" si="50"/>
        <v>0.11686513573267583</v>
      </c>
      <c r="J53" s="59">
        <f t="shared" si="50"/>
        <v>2.0868774237977825</v>
      </c>
      <c r="K53" s="59">
        <f t="shared" si="51"/>
        <v>2.2037425595304585</v>
      </c>
      <c r="L53" s="60"/>
      <c r="M53" s="60"/>
      <c r="N53" s="56">
        <f>Inputs!E51/Inputs!E43/1024^3</f>
        <v>119.50760381296278</v>
      </c>
      <c r="O53" s="56"/>
      <c r="P53" s="56"/>
    </row>
    <row r="54" spans="2:16" x14ac:dyDescent="0.25">
      <c r="B54" s="56"/>
      <c r="C54" s="56"/>
      <c r="D54" s="57"/>
      <c r="E54" s="57"/>
      <c r="F54" s="57"/>
      <c r="G54" s="57"/>
      <c r="H54" s="58"/>
      <c r="I54" s="59"/>
      <c r="J54" s="59"/>
      <c r="K54" s="59"/>
      <c r="L54" s="60"/>
      <c r="M54" s="60"/>
      <c r="N54" s="56"/>
      <c r="O54" s="56"/>
      <c r="P54" s="56"/>
    </row>
    <row r="55" spans="2:16" x14ac:dyDescent="0.25">
      <c r="B55" s="56" t="s">
        <v>70</v>
      </c>
      <c r="C55" s="56" t="s">
        <v>136</v>
      </c>
      <c r="D55" s="57">
        <f>Inputs!E49</f>
        <v>294912000000</v>
      </c>
      <c r="E55" s="57">
        <f>Inputs!F49</f>
        <v>7196444444444.4443</v>
      </c>
      <c r="F55" s="57">
        <f t="shared" si="48"/>
        <v>6.8133489953147039</v>
      </c>
      <c r="G55" s="57">
        <f t="shared" si="49"/>
        <v>6.6536611282370156E-3</v>
      </c>
      <c r="H55" s="58"/>
      <c r="I55" s="59">
        <f t="shared" si="50"/>
        <v>2.5579538487363607E-7</v>
      </c>
      <c r="J55" s="59">
        <f t="shared" si="50"/>
        <v>6.2419205606703245E-6</v>
      </c>
      <c r="K55" s="59">
        <f t="shared" si="51"/>
        <v>6.4977159455439605E-6</v>
      </c>
      <c r="L55" s="60"/>
      <c r="M55" s="60"/>
      <c r="N55" s="56"/>
      <c r="O55" s="56"/>
      <c r="P55" s="56"/>
    </row>
    <row r="56" spans="2:16" ht="15.75" customHeight="1" x14ac:dyDescent="0.25">
      <c r="B56" s="56" t="s">
        <v>73</v>
      </c>
      <c r="C56" s="56" t="s">
        <v>74</v>
      </c>
      <c r="D56" s="57">
        <f>Inputs!E52</f>
        <v>1.3125E+19</v>
      </c>
      <c r="E56" s="57">
        <f>Inputs!F52</f>
        <v>2.34375E+20</v>
      </c>
      <c r="F56" s="57">
        <f t="shared" si="48"/>
        <v>225099938.68879974</v>
      </c>
      <c r="G56" s="57">
        <f t="shared" si="49"/>
        <v>219824.158875781</v>
      </c>
      <c r="H56" s="58"/>
      <c r="I56" s="59">
        <f t="shared" si="50"/>
        <v>11.384122811097797</v>
      </c>
      <c r="J56" s="59">
        <f t="shared" si="50"/>
        <v>203.28790734103208</v>
      </c>
      <c r="K56" s="59">
        <f t="shared" si="51"/>
        <v>214.67203015212988</v>
      </c>
      <c r="L56" s="60"/>
      <c r="M56" s="60"/>
      <c r="N56" s="56"/>
      <c r="O56" s="56">
        <f>Inputs!E52/Inputs!E44/1000000000000</f>
        <v>100</v>
      </c>
      <c r="P56" s="56"/>
    </row>
    <row r="57" spans="2:16" ht="15.75" customHeight="1" x14ac:dyDescent="0.25">
      <c r="B57" s="61"/>
      <c r="C57" s="61"/>
      <c r="D57" s="62"/>
      <c r="E57" s="62"/>
      <c r="F57" s="62"/>
      <c r="G57" s="62"/>
      <c r="H57" s="58"/>
      <c r="I57" s="63"/>
      <c r="J57" s="63"/>
      <c r="K57" s="63"/>
      <c r="L57" s="64"/>
      <c r="M57" s="64"/>
      <c r="N57" s="61"/>
      <c r="O57" s="61"/>
      <c r="P57" s="61"/>
    </row>
    <row r="58" spans="2:16" ht="15.75" customHeight="1" x14ac:dyDescent="0.25">
      <c r="B58" s="65" t="s">
        <v>65</v>
      </c>
      <c r="C58" s="66" t="s">
        <v>137</v>
      </c>
      <c r="D58" s="67">
        <f>D45+D52+D53</f>
        <v>1.48627862973E+17</v>
      </c>
      <c r="E58" s="67">
        <f>E45+E52+E53</f>
        <v>2.6564407607083336E+18</v>
      </c>
      <c r="F58" s="68">
        <f t="shared" ref="F58:F62" si="53">SUM(D58:E58)/1024^4</f>
        <v>2551195.0513476529</v>
      </c>
      <c r="G58" s="68">
        <f t="shared" si="49"/>
        <v>2491.4014173316923</v>
      </c>
      <c r="H58" s="69"/>
      <c r="I58" s="70">
        <f t="shared" si="50"/>
        <v>0.12891412154176357</v>
      </c>
      <c r="J58" s="70">
        <f t="shared" si="50"/>
        <v>2.304095075071217</v>
      </c>
      <c r="K58" s="71">
        <f t="shared" si="51"/>
        <v>2.4330091966129808</v>
      </c>
      <c r="L58" s="60"/>
      <c r="M58" s="60"/>
      <c r="N58" s="72"/>
      <c r="O58" s="72"/>
      <c r="P58" s="72"/>
    </row>
    <row r="59" spans="2:16" x14ac:dyDescent="0.25">
      <c r="B59" s="65" t="s">
        <v>70</v>
      </c>
      <c r="C59" s="66" t="s">
        <v>137</v>
      </c>
      <c r="D59" s="67">
        <f>D46+D49+D55</f>
        <v>1.7698346827776003E+18</v>
      </c>
      <c r="E59" s="67">
        <f>E46+E49+E55</f>
        <v>5.414672821873777E+20</v>
      </c>
      <c r="F59" s="68">
        <f t="shared" si="53"/>
        <v>494071279.59980726</v>
      </c>
      <c r="G59" s="68">
        <f t="shared" si="49"/>
        <v>482491.48398418678</v>
      </c>
      <c r="H59" s="69"/>
      <c r="I59" s="70">
        <f t="shared" si="50"/>
        <v>1.5350868864061342</v>
      </c>
      <c r="J59" s="70">
        <f t="shared" si="50"/>
        <v>469.64800294190127</v>
      </c>
      <c r="K59" s="71">
        <f t="shared" si="51"/>
        <v>471.1830898283074</v>
      </c>
      <c r="L59" s="60"/>
      <c r="M59" s="60"/>
      <c r="N59" s="72"/>
      <c r="O59" s="72"/>
      <c r="P59" s="72"/>
    </row>
    <row r="60" spans="2:16" x14ac:dyDescent="0.25">
      <c r="B60" s="65"/>
      <c r="C60" s="66"/>
      <c r="D60" s="67"/>
      <c r="E60" s="67"/>
      <c r="F60" s="68"/>
      <c r="G60" s="68"/>
      <c r="H60" s="69"/>
      <c r="I60" s="70"/>
      <c r="J60" s="70"/>
      <c r="K60" s="71"/>
      <c r="L60" s="60"/>
      <c r="M60" s="60"/>
      <c r="N60" s="72"/>
      <c r="O60" s="72"/>
      <c r="P60" s="72"/>
    </row>
    <row r="61" spans="2:16" ht="15.75" customHeight="1" x14ac:dyDescent="0.25">
      <c r="B61" s="73" t="s">
        <v>73</v>
      </c>
      <c r="C61" s="73" t="s">
        <v>137</v>
      </c>
      <c r="D61" s="74">
        <f>D47+D50+D56</f>
        <v>1.4304648E+19</v>
      </c>
      <c r="E61" s="74">
        <f>E47+E50+E56</f>
        <v>1.046562648E+21</v>
      </c>
      <c r="F61" s="57">
        <f t="shared" si="53"/>
        <v>964853184.99617279</v>
      </c>
      <c r="G61" s="57">
        <f t="shared" si="49"/>
        <v>942239.43847282499</v>
      </c>
      <c r="H61" s="58"/>
      <c r="I61" s="59">
        <f t="shared" si="50"/>
        <v>12.407304350592341</v>
      </c>
      <c r="J61" s="59">
        <f t="shared" si="50"/>
        <v>907.74839728302584</v>
      </c>
      <c r="K61" s="75">
        <f t="shared" si="51"/>
        <v>920.15570163361815</v>
      </c>
      <c r="L61" s="60"/>
      <c r="M61" s="60"/>
      <c r="N61" s="72"/>
      <c r="O61" s="72"/>
      <c r="P61" s="72"/>
    </row>
    <row r="62" spans="2:16" x14ac:dyDescent="0.25">
      <c r="B62" s="73" t="s">
        <v>138</v>
      </c>
      <c r="C62" s="73" t="s">
        <v>139</v>
      </c>
      <c r="D62" s="74">
        <f>Inputs!E81</f>
        <v>2.959725E+19</v>
      </c>
      <c r="E62" s="74">
        <f>Inputs!F81</f>
        <v>6.5123250000000005E+20</v>
      </c>
      <c r="F62" s="57">
        <f t="shared" si="53"/>
        <v>619211050.43438733</v>
      </c>
      <c r="G62" s="57">
        <f t="shared" si="49"/>
        <v>604698.29143983137</v>
      </c>
      <c r="H62" s="58"/>
      <c r="I62" s="59">
        <f t="shared" si="50"/>
        <v>25.671522199677277</v>
      </c>
      <c r="J62" s="59">
        <f t="shared" si="50"/>
        <v>564.85415303453306</v>
      </c>
      <c r="K62" s="75">
        <f t="shared" si="51"/>
        <v>590.52567523421033</v>
      </c>
      <c r="L62" s="60"/>
      <c r="M62" s="60"/>
      <c r="N62" s="54"/>
      <c r="O62" s="54"/>
      <c r="P62" s="54"/>
    </row>
    <row r="63" spans="2:16" x14ac:dyDescent="0.25">
      <c r="B63" s="83" t="s">
        <v>189</v>
      </c>
      <c r="C63" s="84"/>
      <c r="D63" s="85">
        <f>SUM(D61:D62)</f>
        <v>4.3901898E+19</v>
      </c>
      <c r="E63" s="85">
        <f>SUM(E61:E62)</f>
        <v>1.697795148E+21</v>
      </c>
      <c r="F63" s="85" t="e">
        <f>#REF!*#REF!</f>
        <v>#REF!</v>
      </c>
      <c r="G63" s="85" t="e">
        <f>#REF!*#REF!</f>
        <v>#REF!</v>
      </c>
      <c r="H63" s="86"/>
      <c r="I63" s="87">
        <f>SUM(I61:I62)</f>
        <v>38.078826550269618</v>
      </c>
      <c r="J63" s="87">
        <f>SUM(J61:J62)</f>
        <v>1472.6025503175588</v>
      </c>
      <c r="K63" s="87">
        <f>SUM(K61:K62)</f>
        <v>1510.6813768678285</v>
      </c>
      <c r="L63" s="60"/>
      <c r="M63" s="60"/>
    </row>
    <row r="64" spans="2:16" x14ac:dyDescent="0.25">
      <c r="B64" s="66"/>
      <c r="D64" s="77"/>
      <c r="E64" s="77"/>
      <c r="F64" s="69"/>
      <c r="G64" s="69"/>
      <c r="H64" s="69"/>
      <c r="I64" s="69"/>
      <c r="J64" s="69"/>
      <c r="K64" s="72"/>
      <c r="L64" s="60"/>
      <c r="M64" s="60"/>
    </row>
    <row r="65" spans="1:21" outlineLevel="1" x14ac:dyDescent="0.25">
      <c r="B65" s="97" t="s">
        <v>234</v>
      </c>
      <c r="C65" s="76"/>
      <c r="D65" s="55"/>
      <c r="E65" s="55"/>
      <c r="F65" s="98"/>
      <c r="G65" s="98"/>
      <c r="H65" s="98"/>
      <c r="I65" s="139">
        <v>358</v>
      </c>
      <c r="J65" s="139">
        <v>358</v>
      </c>
      <c r="K65" s="140">
        <v>358</v>
      </c>
      <c r="L65" s="60"/>
      <c r="M65" s="60"/>
    </row>
    <row r="66" spans="1:21" x14ac:dyDescent="0.25">
      <c r="B66" s="109" t="s">
        <v>235</v>
      </c>
      <c r="C66" s="110"/>
      <c r="D66" s="111"/>
      <c r="E66" s="111"/>
      <c r="F66" s="112"/>
      <c r="G66" s="112"/>
      <c r="H66" s="112"/>
      <c r="I66" s="141">
        <f t="shared" ref="I66:K66" si="54">I59/I65</f>
        <v>4.2879521966651792E-3</v>
      </c>
      <c r="J66" s="141">
        <f t="shared" si="54"/>
        <v>1.3118659300053108</v>
      </c>
      <c r="K66" s="142">
        <f t="shared" si="54"/>
        <v>1.316153882201976</v>
      </c>
      <c r="L66" s="69"/>
      <c r="M66" s="69"/>
    </row>
    <row r="67" spans="1:21" x14ac:dyDescent="0.25">
      <c r="B67" s="79"/>
      <c r="D67" s="77"/>
      <c r="E67" s="77"/>
      <c r="F67" s="69"/>
      <c r="G67" s="69"/>
      <c r="H67" s="69"/>
      <c r="I67" s="78"/>
      <c r="J67" s="78"/>
      <c r="K67" s="78"/>
      <c r="L67" s="69"/>
      <c r="M67" s="69"/>
    </row>
    <row r="68" spans="1:21" outlineLevel="1" x14ac:dyDescent="0.25">
      <c r="B68" s="97" t="s">
        <v>186</v>
      </c>
      <c r="C68" s="76"/>
      <c r="D68" s="55"/>
      <c r="E68" s="55"/>
      <c r="F68" s="98"/>
      <c r="G68" s="98"/>
      <c r="H68" s="98"/>
      <c r="I68" s="99">
        <f>$K68</f>
        <v>408.20922336814999</v>
      </c>
      <c r="J68" s="99">
        <f>$K68</f>
        <v>408.20922336814999</v>
      </c>
      <c r="K68" s="100">
        <f>94202*1000*4996*10^9/1024^6</f>
        <v>408.20922336814999</v>
      </c>
      <c r="L68" s="60"/>
      <c r="M68" s="60"/>
    </row>
    <row r="69" spans="1:21" x14ac:dyDescent="0.25">
      <c r="B69" s="104" t="s">
        <v>187</v>
      </c>
      <c r="C69" s="105"/>
      <c r="D69" s="106"/>
      <c r="E69" s="106"/>
      <c r="F69" s="86"/>
      <c r="G69" s="86"/>
      <c r="H69" s="86"/>
      <c r="I69" s="107">
        <f>I63/I68</f>
        <v>9.3282621681302927E-2</v>
      </c>
      <c r="J69" s="107">
        <f>J63/J68</f>
        <v>3.6074700570630389</v>
      </c>
      <c r="K69" s="108">
        <f>K63/K68</f>
        <v>3.7007526787443417</v>
      </c>
      <c r="L69" s="60"/>
      <c r="M69" s="60"/>
    </row>
    <row r="70" spans="1:21" outlineLevel="1" x14ac:dyDescent="0.25">
      <c r="B70" s="101" t="s">
        <v>185</v>
      </c>
      <c r="D70" s="77"/>
      <c r="E70" s="77"/>
      <c r="F70" s="69"/>
      <c r="G70" s="69"/>
      <c r="H70" s="69"/>
      <c r="I70" s="102">
        <f>$K$70</f>
        <v>1028.9833759433145</v>
      </c>
      <c r="J70" s="102">
        <f>$K$70</f>
        <v>1028.9833759433145</v>
      </c>
      <c r="K70" s="103">
        <v>1028.9833759433145</v>
      </c>
      <c r="L70" s="69"/>
      <c r="M70" s="69"/>
    </row>
    <row r="71" spans="1:21" x14ac:dyDescent="0.25">
      <c r="B71" s="109" t="s">
        <v>188</v>
      </c>
      <c r="C71" s="110"/>
      <c r="D71" s="111"/>
      <c r="E71" s="111"/>
      <c r="F71" s="112"/>
      <c r="G71" s="112"/>
      <c r="H71" s="112"/>
      <c r="I71" s="113">
        <f>I63/I70</f>
        <v>3.7006260198675298E-2</v>
      </c>
      <c r="J71" s="113">
        <f>J63/J70</f>
        <v>1.4311237525752629</v>
      </c>
      <c r="K71" s="114">
        <f>K63/K70</f>
        <v>1.4681300127739383</v>
      </c>
      <c r="L71" s="69"/>
      <c r="M71" s="69"/>
    </row>
    <row r="72" spans="1:21" x14ac:dyDescent="0.25">
      <c r="B72" s="79"/>
      <c r="D72" s="77"/>
      <c r="E72" s="77"/>
      <c r="F72" s="69"/>
      <c r="G72" s="69"/>
      <c r="H72" s="69"/>
      <c r="I72" s="78"/>
      <c r="J72" s="78"/>
      <c r="K72" s="78"/>
      <c r="L72" s="69"/>
      <c r="M72" s="69"/>
    </row>
    <row r="73" spans="1:21" x14ac:dyDescent="0.25">
      <c r="A73" s="40" t="s">
        <v>177</v>
      </c>
      <c r="L73" s="40" t="s">
        <v>177</v>
      </c>
      <c r="Q73" s="40" t="s">
        <v>177</v>
      </c>
    </row>
    <row r="74" spans="1:21" x14ac:dyDescent="0.25">
      <c r="T74" s="40" t="s">
        <v>180</v>
      </c>
      <c r="U74" s="40" t="s">
        <v>181</v>
      </c>
    </row>
    <row r="75" spans="1:21" x14ac:dyDescent="0.25">
      <c r="R75" s="40" t="s">
        <v>179</v>
      </c>
      <c r="T75" s="80">
        <v>300000</v>
      </c>
      <c r="U75" s="80">
        <v>40000</v>
      </c>
    </row>
    <row r="76" spans="1:21" x14ac:dyDescent="0.25">
      <c r="R76" s="40" t="s">
        <v>182</v>
      </c>
      <c r="T76" s="80">
        <v>6666.666666666667</v>
      </c>
      <c r="U76" s="80">
        <v>90000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343D-0DCF-4985-9F1C-6DB81C1B1DD9}">
  <dimension ref="B2:D16"/>
  <sheetViews>
    <sheetView workbookViewId="0"/>
  </sheetViews>
  <sheetFormatPr defaultRowHeight="15" x14ac:dyDescent="0.25"/>
  <cols>
    <col min="4" max="4" width="10.140625" bestFit="1" customWidth="1"/>
  </cols>
  <sheetData>
    <row r="2" spans="2:4" x14ac:dyDescent="0.25">
      <c r="B2" t="s">
        <v>163</v>
      </c>
    </row>
    <row r="4" spans="2:4" x14ac:dyDescent="0.25">
      <c r="B4" t="s">
        <v>164</v>
      </c>
      <c r="D4" s="28">
        <v>3000</v>
      </c>
    </row>
    <row r="5" spans="2:4" x14ac:dyDescent="0.25">
      <c r="B5" t="s">
        <v>165</v>
      </c>
      <c r="D5" s="28">
        <v>50000</v>
      </c>
    </row>
    <row r="6" spans="2:4" x14ac:dyDescent="0.25">
      <c r="B6" s="35" t="s">
        <v>166</v>
      </c>
      <c r="D6" s="28">
        <f>45/50</f>
        <v>0.9</v>
      </c>
    </row>
    <row r="7" spans="2:4" x14ac:dyDescent="0.25">
      <c r="B7" t="s">
        <v>162</v>
      </c>
      <c r="D7">
        <f>D5*D6</f>
        <v>45000</v>
      </c>
    </row>
    <row r="8" spans="2:4" x14ac:dyDescent="0.25">
      <c r="B8" s="35" t="s">
        <v>167</v>
      </c>
      <c r="D8">
        <f>40/45</f>
        <v>0.88888888888888884</v>
      </c>
    </row>
    <row r="9" spans="2:4" x14ac:dyDescent="0.25">
      <c r="B9" s="35"/>
    </row>
    <row r="10" spans="2:4" x14ac:dyDescent="0.25">
      <c r="B10" t="s">
        <v>162</v>
      </c>
      <c r="D10" s="28">
        <f>D7-D11</f>
        <v>5000</v>
      </c>
    </row>
    <row r="11" spans="2:4" x14ac:dyDescent="0.25">
      <c r="B11" t="s">
        <v>168</v>
      </c>
      <c r="D11" s="28">
        <f>D8*D7</f>
        <v>40000</v>
      </c>
    </row>
    <row r="12" spans="2:4" x14ac:dyDescent="0.25">
      <c r="B12" t="s">
        <v>161</v>
      </c>
      <c r="D12" s="28">
        <f>D5-D7</f>
        <v>5000</v>
      </c>
    </row>
    <row r="14" spans="2:4" x14ac:dyDescent="0.25">
      <c r="B14" t="s">
        <v>169</v>
      </c>
      <c r="D14">
        <v>1.5</v>
      </c>
    </row>
    <row r="16" spans="2:4" x14ac:dyDescent="0.25">
      <c r="B16" t="s">
        <v>170</v>
      </c>
      <c r="D16" s="28">
        <v>100000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9"/>
  <sheetViews>
    <sheetView workbookViewId="0"/>
  </sheetViews>
  <sheetFormatPr defaultRowHeight="15" x14ac:dyDescent="0.25"/>
  <cols>
    <col min="1" max="1" width="3.140625" customWidth="1"/>
    <col min="2" max="2" width="26.7109375" customWidth="1"/>
    <col min="3" max="6" width="26.42578125" customWidth="1"/>
  </cols>
  <sheetData>
    <row r="1" spans="2:6" ht="9.75" customHeight="1" x14ac:dyDescent="0.25"/>
    <row r="2" spans="2:6" x14ac:dyDescent="0.25">
      <c r="B2" s="23" t="s">
        <v>7</v>
      </c>
      <c r="C2" s="23" t="s">
        <v>140</v>
      </c>
      <c r="D2" s="23" t="s">
        <v>141</v>
      </c>
      <c r="E2" s="23" t="s">
        <v>142</v>
      </c>
      <c r="F2" s="23" t="s">
        <v>143</v>
      </c>
    </row>
    <row r="3" spans="2:6" x14ac:dyDescent="0.25">
      <c r="B3" s="24">
        <v>2000</v>
      </c>
      <c r="C3" s="19">
        <v>226290.73088640001</v>
      </c>
      <c r="D3" s="19">
        <v>4585261.2427776</v>
      </c>
      <c r="E3" s="19">
        <v>46877347.840000004</v>
      </c>
      <c r="F3" s="19">
        <v>293556000</v>
      </c>
    </row>
    <row r="4" spans="2:6" x14ac:dyDescent="0.25">
      <c r="B4" s="24">
        <v>5000</v>
      </c>
      <c r="C4" s="19">
        <v>226290.73088640001</v>
      </c>
      <c r="D4" s="19">
        <v>6648465.5947775999</v>
      </c>
      <c r="E4" s="19">
        <v>49972154.368000001</v>
      </c>
      <c r="F4" s="19">
        <v>293556000</v>
      </c>
    </row>
    <row r="5" spans="2:6" x14ac:dyDescent="0.25">
      <c r="B5" s="24">
        <v>10000</v>
      </c>
      <c r="C5" s="19">
        <v>226290.73088640001</v>
      </c>
      <c r="D5" s="19">
        <v>10087139.514777601</v>
      </c>
      <c r="E5" s="19">
        <v>55130165.248000003</v>
      </c>
      <c r="F5" s="19">
        <v>293556000</v>
      </c>
    </row>
    <row r="6" spans="2:6" x14ac:dyDescent="0.25">
      <c r="B6" s="24">
        <v>20000</v>
      </c>
      <c r="C6" s="19">
        <v>226290.73088640001</v>
      </c>
      <c r="D6" s="19">
        <v>16964487.354777601</v>
      </c>
      <c r="E6" s="19">
        <v>65446187.008000001</v>
      </c>
      <c r="F6" s="19">
        <v>293556000</v>
      </c>
    </row>
    <row r="7" spans="2:6" x14ac:dyDescent="0.25">
      <c r="B7" s="24">
        <v>50000</v>
      </c>
      <c r="C7" s="19">
        <v>226290.73088640001</v>
      </c>
      <c r="D7" s="19">
        <v>37596530.8747776</v>
      </c>
      <c r="E7" s="19">
        <v>96394252.288000003</v>
      </c>
      <c r="F7" s="19">
        <v>293556000</v>
      </c>
    </row>
    <row r="8" spans="2:6" x14ac:dyDescent="0.25">
      <c r="B8" s="24">
        <v>100000</v>
      </c>
      <c r="C8" s="19">
        <v>226290.73088640001</v>
      </c>
      <c r="D8" s="19">
        <v>71983270.074777603</v>
      </c>
      <c r="E8" s="19">
        <v>147974361.088</v>
      </c>
      <c r="F8" s="19">
        <v>293556000</v>
      </c>
    </row>
    <row r="9" spans="2:6" x14ac:dyDescent="0.25">
      <c r="B9" s="24">
        <v>200000</v>
      </c>
      <c r="C9" s="19">
        <v>226290.73088640001</v>
      </c>
      <c r="D9" s="19">
        <v>140756748.47477761</v>
      </c>
      <c r="E9" s="19">
        <v>251134578.68799999</v>
      </c>
      <c r="F9" s="19">
        <v>293556000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6"/>
  <sheetViews>
    <sheetView workbookViewId="0"/>
  </sheetViews>
  <sheetFormatPr defaultRowHeight="15" x14ac:dyDescent="0.25"/>
  <cols>
    <col min="2" max="2" width="23.85546875" bestFit="1" customWidth="1"/>
    <col min="3" max="4" width="21.42578125" customWidth="1"/>
    <col min="5" max="5" width="21.42578125" style="18" customWidth="1"/>
    <col min="6" max="6" width="21.42578125" customWidth="1"/>
    <col min="7" max="7" width="1.85546875" customWidth="1"/>
    <col min="9" max="9" width="10.5703125" bestFit="1" customWidth="1"/>
    <col min="12" max="12" width="21" bestFit="1" customWidth="1"/>
  </cols>
  <sheetData>
    <row r="2" spans="2:14" x14ac:dyDescent="0.25">
      <c r="B2" t="s">
        <v>144</v>
      </c>
    </row>
    <row r="3" spans="2:14" x14ac:dyDescent="0.25">
      <c r="B3" s="20"/>
      <c r="C3" s="20">
        <v>2025</v>
      </c>
      <c r="D3" s="20">
        <v>2026</v>
      </c>
      <c r="E3" s="23" t="s">
        <v>145</v>
      </c>
    </row>
    <row r="4" spans="2:14" x14ac:dyDescent="0.25">
      <c r="B4" t="s">
        <v>65</v>
      </c>
      <c r="C4" s="19">
        <v>2845.6559999999999</v>
      </c>
      <c r="D4" s="19">
        <v>3886.32384</v>
      </c>
      <c r="E4" s="18" t="s">
        <v>146</v>
      </c>
    </row>
    <row r="5" spans="2:14" x14ac:dyDescent="0.25">
      <c r="B5" t="s">
        <v>147</v>
      </c>
      <c r="C5" s="21">
        <v>33505.936650444703</v>
      </c>
      <c r="D5" s="21">
        <v>39535.398441614147</v>
      </c>
      <c r="E5" s="18" t="s">
        <v>146</v>
      </c>
    </row>
    <row r="6" spans="2:14" x14ac:dyDescent="0.25">
      <c r="B6" t="s">
        <v>148</v>
      </c>
      <c r="C6" s="19">
        <v>930.69875265232156</v>
      </c>
      <c r="D6" s="19">
        <v>1114.3897736915981</v>
      </c>
      <c r="E6" s="18" t="s">
        <v>149</v>
      </c>
    </row>
    <row r="8" spans="2:14" x14ac:dyDescent="0.25">
      <c r="B8" t="s">
        <v>150</v>
      </c>
      <c r="C8" s="19">
        <v>3</v>
      </c>
    </row>
    <row r="9" spans="2:14" x14ac:dyDescent="0.25">
      <c r="B9" s="20"/>
      <c r="C9" s="20"/>
      <c r="D9" s="20"/>
      <c r="E9" s="23" t="s">
        <v>151</v>
      </c>
    </row>
    <row r="10" spans="2:14" x14ac:dyDescent="0.25">
      <c r="B10" t="s">
        <v>65</v>
      </c>
      <c r="D10" s="19">
        <f>$C$8*'Tier Breakdown'!G58</f>
        <v>7474.2042519950774</v>
      </c>
      <c r="E10" s="22">
        <f>D10/D4</f>
        <v>1.9232067526300323</v>
      </c>
    </row>
    <row r="11" spans="2:14" x14ac:dyDescent="0.25">
      <c r="B11" t="s">
        <v>147</v>
      </c>
      <c r="D11" s="19">
        <f>$C$8*'Tier Breakdown'!G59</f>
        <v>1447474.4519525603</v>
      </c>
      <c r="E11" s="22">
        <f>D11/D5</f>
        <v>36.612112410861108</v>
      </c>
    </row>
    <row r="12" spans="2:14" x14ac:dyDescent="0.25">
      <c r="B12" t="s">
        <v>148</v>
      </c>
      <c r="D12" s="19">
        <f>$C$8*('Tier Breakdown'!G61+'Tier Breakdown'!G62)/1000</f>
        <v>4640.813189737969</v>
      </c>
      <c r="E12" s="22">
        <f>D12/D6</f>
        <v>4.1644434463576578</v>
      </c>
    </row>
    <row r="15" spans="2:14" x14ac:dyDescent="0.25">
      <c r="H15" t="s">
        <v>152</v>
      </c>
      <c r="L15" t="s">
        <v>153</v>
      </c>
    </row>
    <row r="16" spans="2:14" x14ac:dyDescent="0.25">
      <c r="B16" s="25" t="s">
        <v>7</v>
      </c>
      <c r="C16" s="23" t="s">
        <v>154</v>
      </c>
      <c r="D16" s="23" t="s">
        <v>155</v>
      </c>
      <c r="E16" s="23" t="s">
        <v>156</v>
      </c>
      <c r="F16" s="23" t="s">
        <v>157</v>
      </c>
      <c r="H16" s="23" t="s">
        <v>65</v>
      </c>
      <c r="I16" s="23" t="s">
        <v>70</v>
      </c>
      <c r="J16" s="23" t="s">
        <v>148</v>
      </c>
      <c r="L16" s="25" t="s">
        <v>7</v>
      </c>
      <c r="M16" s="23" t="s">
        <v>70</v>
      </c>
      <c r="N16" s="23" t="s">
        <v>148</v>
      </c>
    </row>
    <row r="17" spans="2:14" x14ac:dyDescent="0.25">
      <c r="B17" s="24">
        <v>2000</v>
      </c>
      <c r="C17" s="19">
        <v>226.29073088640001</v>
      </c>
      <c r="D17" s="19">
        <v>4585.2612427776003</v>
      </c>
      <c r="E17" s="19">
        <v>46.877347839999999</v>
      </c>
      <c r="F17" s="19">
        <v>293.55599999999998</v>
      </c>
      <c r="H17" s="19">
        <f t="shared" ref="H17:I23" si="0">C17*$C$8</f>
        <v>678.87219265919998</v>
      </c>
      <c r="I17" s="19">
        <f t="shared" si="0"/>
        <v>13755.783728332801</v>
      </c>
      <c r="J17" s="19">
        <f t="shared" ref="J17:J23" si="1">$C$8*(E17+F17)</f>
        <v>1021.30004352</v>
      </c>
      <c r="L17" s="24">
        <v>2000</v>
      </c>
      <c r="M17" s="22">
        <f>I17/$D$5</f>
        <v>0.34793588203359921</v>
      </c>
      <c r="N17" s="22">
        <f>J17/$D$6</f>
        <v>0.91646573544620469</v>
      </c>
    </row>
    <row r="18" spans="2:14" x14ac:dyDescent="0.25">
      <c r="B18" s="24">
        <v>5000</v>
      </c>
      <c r="C18" s="19">
        <v>226.29073088640001</v>
      </c>
      <c r="D18" s="19">
        <v>6648.4655947776</v>
      </c>
      <c r="E18" s="19">
        <v>49.972154368000005</v>
      </c>
      <c r="F18" s="19">
        <v>293.55599999999998</v>
      </c>
      <c r="H18" s="19">
        <f t="shared" si="0"/>
        <v>678.87219265919998</v>
      </c>
      <c r="I18" s="19">
        <f t="shared" si="0"/>
        <v>19945.396784332799</v>
      </c>
      <c r="J18" s="19">
        <f t="shared" si="1"/>
        <v>1030.584463104</v>
      </c>
      <c r="L18" s="24">
        <v>5000</v>
      </c>
      <c r="M18" s="22">
        <f t="shared" ref="M18:M23" si="2">I18/$D$5</f>
        <v>0.50449464455981519</v>
      </c>
      <c r="N18" s="22">
        <f t="shared" ref="N18:N23" si="3">J18/$D$6</f>
        <v>0.92479712882685616</v>
      </c>
    </row>
    <row r="19" spans="2:14" x14ac:dyDescent="0.25">
      <c r="B19" s="24">
        <v>10000</v>
      </c>
      <c r="C19" s="19">
        <v>226.29073088640001</v>
      </c>
      <c r="D19" s="19">
        <v>10087.1395147776</v>
      </c>
      <c r="E19" s="19">
        <v>55.130165248000004</v>
      </c>
      <c r="F19" s="19">
        <v>293.55599999999998</v>
      </c>
      <c r="H19" s="19">
        <f t="shared" si="0"/>
        <v>678.87219265919998</v>
      </c>
      <c r="I19" s="19">
        <f t="shared" si="0"/>
        <v>30261.418544332802</v>
      </c>
      <c r="J19" s="19">
        <f t="shared" si="1"/>
        <v>1046.0584957440001</v>
      </c>
      <c r="L19" s="24">
        <v>10000</v>
      </c>
      <c r="M19" s="22">
        <f t="shared" si="2"/>
        <v>0.76542591543684191</v>
      </c>
      <c r="N19" s="22">
        <f t="shared" si="3"/>
        <v>0.93868278446127562</v>
      </c>
    </row>
    <row r="20" spans="2:14" x14ac:dyDescent="0.25">
      <c r="B20" s="24">
        <v>20000</v>
      </c>
      <c r="C20" s="19">
        <v>226.29073088640001</v>
      </c>
      <c r="D20" s="19">
        <v>16964.487354777601</v>
      </c>
      <c r="E20" s="19">
        <v>65.446187007999995</v>
      </c>
      <c r="F20" s="19">
        <v>293.55599999999998</v>
      </c>
      <c r="H20" s="19">
        <f t="shared" si="0"/>
        <v>678.87219265919998</v>
      </c>
      <c r="I20" s="19">
        <f t="shared" si="0"/>
        <v>50893.462064332802</v>
      </c>
      <c r="J20" s="19">
        <f t="shared" si="1"/>
        <v>1077.0065610239999</v>
      </c>
      <c r="L20" s="24">
        <v>20000</v>
      </c>
      <c r="M20" s="22">
        <f t="shared" si="2"/>
        <v>1.2872884571908954</v>
      </c>
      <c r="N20" s="22">
        <f t="shared" si="3"/>
        <v>0.96645409573011409</v>
      </c>
    </row>
    <row r="21" spans="2:14" x14ac:dyDescent="0.25">
      <c r="B21" s="24">
        <v>50000</v>
      </c>
      <c r="C21" s="19">
        <v>226.29073088640001</v>
      </c>
      <c r="D21" s="19">
        <v>37596.5308747776</v>
      </c>
      <c r="E21" s="19">
        <v>96.394252288000004</v>
      </c>
      <c r="F21" s="19">
        <v>293.55599999999998</v>
      </c>
      <c r="H21" s="19">
        <f t="shared" si="0"/>
        <v>678.87219265919998</v>
      </c>
      <c r="I21" s="19">
        <f t="shared" si="0"/>
        <v>112789.5926243328</v>
      </c>
      <c r="J21" s="19">
        <f t="shared" si="1"/>
        <v>1169.850756864</v>
      </c>
      <c r="L21" s="24">
        <v>50000</v>
      </c>
      <c r="M21" s="22">
        <f t="shared" si="2"/>
        <v>2.8528760824530552</v>
      </c>
      <c r="N21" s="22">
        <f t="shared" si="3"/>
        <v>1.0497680295366301</v>
      </c>
    </row>
    <row r="22" spans="2:14" x14ac:dyDescent="0.25">
      <c r="B22" s="24">
        <v>100000</v>
      </c>
      <c r="C22" s="19">
        <v>226.29073088640001</v>
      </c>
      <c r="D22" s="19">
        <v>71983.270074777596</v>
      </c>
      <c r="E22" s="19">
        <v>147.97436108799999</v>
      </c>
      <c r="F22" s="19">
        <v>293.55599999999998</v>
      </c>
      <c r="H22" s="19">
        <f t="shared" si="0"/>
        <v>678.87219265919998</v>
      </c>
      <c r="I22" s="19">
        <f t="shared" si="0"/>
        <v>215949.81022433279</v>
      </c>
      <c r="J22" s="19">
        <f t="shared" si="1"/>
        <v>1324.5910832639997</v>
      </c>
      <c r="L22" s="24">
        <v>100000</v>
      </c>
      <c r="M22" s="22">
        <f t="shared" si="2"/>
        <v>5.4621887912233218</v>
      </c>
      <c r="N22" s="22">
        <f t="shared" si="3"/>
        <v>1.1886245858808229</v>
      </c>
    </row>
    <row r="23" spans="2:14" x14ac:dyDescent="0.25">
      <c r="B23" s="24">
        <v>200000</v>
      </c>
      <c r="C23" s="19">
        <v>226.29073088640001</v>
      </c>
      <c r="D23" s="19">
        <v>140756.74847477762</v>
      </c>
      <c r="E23" s="19">
        <v>251.13457868799998</v>
      </c>
      <c r="F23" s="19">
        <v>293.55599999999998</v>
      </c>
      <c r="H23" s="19">
        <f t="shared" si="0"/>
        <v>678.87219265919998</v>
      </c>
      <c r="I23" s="19">
        <f t="shared" si="0"/>
        <v>422270.24542433285</v>
      </c>
      <c r="J23" s="19">
        <f t="shared" si="1"/>
        <v>1634.0717360639999</v>
      </c>
      <c r="L23" s="24">
        <v>200000</v>
      </c>
      <c r="M23" s="22">
        <f t="shared" si="2"/>
        <v>10.680814208763858</v>
      </c>
      <c r="N23" s="22">
        <f t="shared" si="3"/>
        <v>1.4663376985692094</v>
      </c>
    </row>
    <row r="25" spans="2:14" x14ac:dyDescent="0.25">
      <c r="D25" s="19"/>
      <c r="E25" s="19"/>
    </row>
    <row r="26" spans="2:14" x14ac:dyDescent="0.25">
      <c r="F26" s="19"/>
    </row>
  </sheetData>
  <pageMargins left="0.7" right="0.7" top="0.75" bottom="0.75" header="0.3" footer="0.3"/>
  <pageSetup paperSize="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E489-34AA-44D2-8545-65E5282CB04A}">
  <dimension ref="B2:N26"/>
  <sheetViews>
    <sheetView workbookViewId="0"/>
  </sheetViews>
  <sheetFormatPr defaultRowHeight="15" x14ac:dyDescent="0.25"/>
  <cols>
    <col min="2" max="2" width="23.85546875" bestFit="1" customWidth="1"/>
    <col min="3" max="4" width="21.42578125" customWidth="1"/>
    <col min="5" max="5" width="21.42578125" style="18" customWidth="1"/>
    <col min="6" max="6" width="21.42578125" customWidth="1"/>
    <col min="7" max="7" width="1.85546875" customWidth="1"/>
    <col min="9" max="9" width="10.5703125" bestFit="1" customWidth="1"/>
    <col min="12" max="12" width="21" bestFit="1" customWidth="1"/>
  </cols>
  <sheetData>
    <row r="2" spans="2:14" x14ac:dyDescent="0.25">
      <c r="B2" t="s">
        <v>144</v>
      </c>
    </row>
    <row r="3" spans="2:14" x14ac:dyDescent="0.25">
      <c r="B3" s="20"/>
      <c r="C3" s="20">
        <v>2025</v>
      </c>
      <c r="D3" s="20">
        <v>2026</v>
      </c>
      <c r="E3" s="23" t="s">
        <v>145</v>
      </c>
    </row>
    <row r="4" spans="2:14" x14ac:dyDescent="0.25">
      <c r="B4" t="s">
        <v>65</v>
      </c>
      <c r="C4" s="19">
        <v>2845.6559999999999</v>
      </c>
      <c r="D4" s="19">
        <v>3886.32384</v>
      </c>
      <c r="E4" s="18" t="s">
        <v>146</v>
      </c>
    </row>
    <row r="5" spans="2:14" x14ac:dyDescent="0.25">
      <c r="B5" t="s">
        <v>147</v>
      </c>
      <c r="C5" s="21">
        <v>33505.936650444703</v>
      </c>
      <c r="D5" s="21">
        <v>39535.398441614147</v>
      </c>
      <c r="E5" s="18" t="s">
        <v>146</v>
      </c>
    </row>
    <row r="6" spans="2:14" x14ac:dyDescent="0.25">
      <c r="B6" t="s">
        <v>148</v>
      </c>
      <c r="C6" s="19">
        <v>930.69875265232156</v>
      </c>
      <c r="D6" s="19">
        <v>1114.3897736915981</v>
      </c>
      <c r="E6" s="18" t="s">
        <v>149</v>
      </c>
    </row>
    <row r="8" spans="2:14" x14ac:dyDescent="0.25">
      <c r="B8" t="s">
        <v>150</v>
      </c>
      <c r="C8" s="19">
        <v>3</v>
      </c>
    </row>
    <row r="9" spans="2:14" x14ac:dyDescent="0.25">
      <c r="B9" s="20"/>
      <c r="C9" s="20"/>
      <c r="D9" s="20"/>
      <c r="E9" s="23" t="s">
        <v>151</v>
      </c>
    </row>
    <row r="10" spans="2:14" x14ac:dyDescent="0.25">
      <c r="B10" t="s">
        <v>65</v>
      </c>
      <c r="D10" s="19">
        <f>$C$8*'Tier Breakdown'!G58</f>
        <v>7474.2042519950774</v>
      </c>
      <c r="E10" s="22">
        <f>D10/D4</f>
        <v>1.9232067526300323</v>
      </c>
    </row>
    <row r="11" spans="2:14" x14ac:dyDescent="0.25">
      <c r="B11" t="s">
        <v>147</v>
      </c>
      <c r="D11" s="19">
        <f>$C$8*'Tier Breakdown'!G59</f>
        <v>1447474.4519525603</v>
      </c>
      <c r="E11" s="22">
        <f>D11/D5</f>
        <v>36.612112410861108</v>
      </c>
    </row>
    <row r="12" spans="2:14" x14ac:dyDescent="0.25">
      <c r="B12" t="s">
        <v>148</v>
      </c>
      <c r="D12" s="19">
        <f>$C$8*('Tier Breakdown'!G61+'Tier Breakdown'!G62)/1000</f>
        <v>4640.813189737969</v>
      </c>
      <c r="E12" s="22">
        <f>D12/D6</f>
        <v>4.1644434463576578</v>
      </c>
    </row>
    <row r="15" spans="2:14" x14ac:dyDescent="0.25">
      <c r="H15" t="s">
        <v>152</v>
      </c>
      <c r="L15" t="s">
        <v>153</v>
      </c>
    </row>
    <row r="16" spans="2:14" x14ac:dyDescent="0.25">
      <c r="B16" s="25" t="s">
        <v>7</v>
      </c>
      <c r="C16" s="23" t="s">
        <v>154</v>
      </c>
      <c r="D16" s="23" t="s">
        <v>155</v>
      </c>
      <c r="E16" s="23" t="s">
        <v>156</v>
      </c>
      <c r="F16" s="23" t="s">
        <v>157</v>
      </c>
      <c r="H16" s="23" t="s">
        <v>65</v>
      </c>
      <c r="I16" s="23" t="s">
        <v>70</v>
      </c>
      <c r="J16" s="23" t="s">
        <v>148</v>
      </c>
      <c r="L16" s="25" t="s">
        <v>7</v>
      </c>
      <c r="M16" s="23" t="s">
        <v>70</v>
      </c>
      <c r="N16" s="23" t="s">
        <v>148</v>
      </c>
    </row>
    <row r="17" spans="2:14" x14ac:dyDescent="0.25">
      <c r="B17" s="24">
        <v>2000</v>
      </c>
      <c r="C17" s="19">
        <v>226.29073088640001</v>
      </c>
      <c r="D17" s="19">
        <v>4585.2612427776003</v>
      </c>
      <c r="E17" s="19">
        <v>46.877347839999999</v>
      </c>
      <c r="F17" s="19">
        <v>293.55599999999998</v>
      </c>
      <c r="H17" s="19">
        <f t="shared" ref="H17:I23" si="0">C17*$C$8</f>
        <v>678.87219265919998</v>
      </c>
      <c r="I17" s="19">
        <f t="shared" si="0"/>
        <v>13755.783728332801</v>
      </c>
      <c r="J17" s="19">
        <f t="shared" ref="J17:J23" si="1">$C$8*(E17+F17)</f>
        <v>1021.30004352</v>
      </c>
      <c r="L17" s="24">
        <v>2000</v>
      </c>
      <c r="M17" s="22">
        <f>I17/$D$5</f>
        <v>0.34793588203359921</v>
      </c>
      <c r="N17" s="22">
        <f>J17/$D$6</f>
        <v>0.91646573544620469</v>
      </c>
    </row>
    <row r="18" spans="2:14" x14ac:dyDescent="0.25">
      <c r="B18" s="24">
        <v>5000</v>
      </c>
      <c r="C18" s="19">
        <v>226.29073088640001</v>
      </c>
      <c r="D18" s="19">
        <v>6648.4655947776</v>
      </c>
      <c r="E18" s="19">
        <v>49.972154368000005</v>
      </c>
      <c r="F18" s="19">
        <v>293.55599999999998</v>
      </c>
      <c r="H18" s="19">
        <f t="shared" si="0"/>
        <v>678.87219265919998</v>
      </c>
      <c r="I18" s="19">
        <f t="shared" si="0"/>
        <v>19945.396784332799</v>
      </c>
      <c r="J18" s="19">
        <f t="shared" si="1"/>
        <v>1030.584463104</v>
      </c>
      <c r="L18" s="24">
        <v>5000</v>
      </c>
      <c r="M18" s="22">
        <f t="shared" ref="M18:M23" si="2">I18/$D$5</f>
        <v>0.50449464455981519</v>
      </c>
      <c r="N18" s="22">
        <f t="shared" ref="N18:N23" si="3">J18/$D$6</f>
        <v>0.92479712882685616</v>
      </c>
    </row>
    <row r="19" spans="2:14" x14ac:dyDescent="0.25">
      <c r="B19" s="24">
        <v>10000</v>
      </c>
      <c r="C19" s="19">
        <v>226.29073088640001</v>
      </c>
      <c r="D19" s="19">
        <v>10087.1395147776</v>
      </c>
      <c r="E19" s="19">
        <v>55.130165248000004</v>
      </c>
      <c r="F19" s="19">
        <v>293.55599999999998</v>
      </c>
      <c r="H19" s="19">
        <f t="shared" si="0"/>
        <v>678.87219265919998</v>
      </c>
      <c r="I19" s="19">
        <f t="shared" si="0"/>
        <v>30261.418544332802</v>
      </c>
      <c r="J19" s="19">
        <f t="shared" si="1"/>
        <v>1046.0584957440001</v>
      </c>
      <c r="L19" s="24">
        <v>10000</v>
      </c>
      <c r="M19" s="22">
        <f t="shared" si="2"/>
        <v>0.76542591543684191</v>
      </c>
      <c r="N19" s="22">
        <f t="shared" si="3"/>
        <v>0.93868278446127562</v>
      </c>
    </row>
    <row r="20" spans="2:14" x14ac:dyDescent="0.25">
      <c r="B20" s="24">
        <v>20000</v>
      </c>
      <c r="C20" s="19">
        <v>226.29073088640001</v>
      </c>
      <c r="D20" s="19">
        <v>16964.487354777601</v>
      </c>
      <c r="E20" s="19">
        <v>65.446187007999995</v>
      </c>
      <c r="F20" s="19">
        <v>293.55599999999998</v>
      </c>
      <c r="H20" s="19">
        <f t="shared" si="0"/>
        <v>678.87219265919998</v>
      </c>
      <c r="I20" s="19">
        <f t="shared" si="0"/>
        <v>50893.462064332802</v>
      </c>
      <c r="J20" s="19">
        <f t="shared" si="1"/>
        <v>1077.0065610239999</v>
      </c>
      <c r="L20" s="24">
        <v>20000</v>
      </c>
      <c r="M20" s="22">
        <f t="shared" si="2"/>
        <v>1.2872884571908954</v>
      </c>
      <c r="N20" s="22">
        <f t="shared" si="3"/>
        <v>0.96645409573011409</v>
      </c>
    </row>
    <row r="21" spans="2:14" x14ac:dyDescent="0.25">
      <c r="B21" s="24">
        <v>50000</v>
      </c>
      <c r="C21" s="19">
        <v>226.29073088640001</v>
      </c>
      <c r="D21" s="19">
        <v>37596.5308747776</v>
      </c>
      <c r="E21" s="19">
        <v>96.394252288000004</v>
      </c>
      <c r="F21" s="19">
        <v>293.55599999999998</v>
      </c>
      <c r="H21" s="19">
        <f t="shared" si="0"/>
        <v>678.87219265919998</v>
      </c>
      <c r="I21" s="19">
        <f t="shared" si="0"/>
        <v>112789.5926243328</v>
      </c>
      <c r="J21" s="19">
        <f t="shared" si="1"/>
        <v>1169.850756864</v>
      </c>
      <c r="L21" s="24">
        <v>50000</v>
      </c>
      <c r="M21" s="22">
        <f t="shared" si="2"/>
        <v>2.8528760824530552</v>
      </c>
      <c r="N21" s="22">
        <f t="shared" si="3"/>
        <v>1.0497680295366301</v>
      </c>
    </row>
    <row r="22" spans="2:14" x14ac:dyDescent="0.25">
      <c r="B22" s="24">
        <v>100000</v>
      </c>
      <c r="C22" s="19">
        <v>226.29073088640001</v>
      </c>
      <c r="D22" s="19">
        <v>71983.270074777596</v>
      </c>
      <c r="E22" s="19">
        <v>147.97436108799999</v>
      </c>
      <c r="F22" s="19">
        <v>293.55599999999998</v>
      </c>
      <c r="H22" s="19">
        <f t="shared" si="0"/>
        <v>678.87219265919998</v>
      </c>
      <c r="I22" s="19">
        <f t="shared" si="0"/>
        <v>215949.81022433279</v>
      </c>
      <c r="J22" s="19">
        <f t="shared" si="1"/>
        <v>1324.5910832639997</v>
      </c>
      <c r="L22" s="24">
        <v>100000</v>
      </c>
      <c r="M22" s="22">
        <f t="shared" si="2"/>
        <v>5.4621887912233218</v>
      </c>
      <c r="N22" s="22">
        <f t="shared" si="3"/>
        <v>1.1886245858808229</v>
      </c>
    </row>
    <row r="23" spans="2:14" x14ac:dyDescent="0.25">
      <c r="B23" s="24">
        <v>200000</v>
      </c>
      <c r="C23" s="19">
        <v>226.29073088640001</v>
      </c>
      <c r="D23" s="19">
        <v>140756.74847477762</v>
      </c>
      <c r="E23" s="19">
        <v>251.13457868799998</v>
      </c>
      <c r="F23" s="19">
        <v>293.55599999999998</v>
      </c>
      <c r="H23" s="19">
        <f t="shared" si="0"/>
        <v>678.87219265919998</v>
      </c>
      <c r="I23" s="19">
        <f t="shared" si="0"/>
        <v>422270.24542433285</v>
      </c>
      <c r="J23" s="19">
        <f t="shared" si="1"/>
        <v>1634.0717360639999</v>
      </c>
      <c r="L23" s="24">
        <v>200000</v>
      </c>
      <c r="M23" s="22">
        <f t="shared" si="2"/>
        <v>10.680814208763858</v>
      </c>
      <c r="N23" s="22">
        <f t="shared" si="3"/>
        <v>1.4663376985692094</v>
      </c>
    </row>
    <row r="25" spans="2:14" x14ac:dyDescent="0.25">
      <c r="D25" s="19"/>
      <c r="E25" s="19"/>
    </row>
    <row r="26" spans="2:14" x14ac:dyDescent="0.25">
      <c r="F26" s="19"/>
    </row>
  </sheetData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Inputs</vt:lpstr>
      <vt:lpstr>Tier Breakdown</vt:lpstr>
      <vt:lpstr>Frank Inputs</vt:lpstr>
      <vt:lpstr>Sensitivity_Input_Length</vt:lpstr>
      <vt:lpstr>Global S_D</vt:lpstr>
      <vt:lpstr>Global S_D (incl. Agentic)</vt:lpstr>
      <vt:lpstr>Linking_1</vt:lpstr>
      <vt:lpstr>Linking_2</vt:lpstr>
      <vt:lpstr>'Global S_D (incl. Agentic)'!Linking_3</vt:lpstr>
      <vt:lpstr>Linking_3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Zhu</cp:lastModifiedBy>
  <cp:lastPrinted>2026-01-14T08:02:27Z</cp:lastPrinted>
  <dcterms:created xsi:type="dcterms:W3CDTF">2026-01-13T05:15:22Z</dcterms:created>
  <dcterms:modified xsi:type="dcterms:W3CDTF">2026-02-11T01:55:43Z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f119e6-c6cd-44b0-a5ee-ac1aff68c56e_Enabled">
    <vt:lpwstr>true</vt:lpwstr>
  </property>
  <property fmtid="{D5CDD505-2E9C-101B-9397-08002B2CF9AE}" pid="3" name="MSIP_Label_07f119e6-c6cd-44b0-a5ee-ac1aff68c56e_SetDate">
    <vt:lpwstr>2026-01-13T07:06:41Z</vt:lpwstr>
  </property>
  <property fmtid="{D5CDD505-2E9C-101B-9397-08002B2CF9AE}" pid="4" name="MSIP_Label_07f119e6-c6cd-44b0-a5ee-ac1aff68c56e_Method">
    <vt:lpwstr>Standard</vt:lpwstr>
  </property>
  <property fmtid="{D5CDD505-2E9C-101B-9397-08002B2CF9AE}" pid="5" name="MSIP_Label_07f119e6-c6cd-44b0-a5ee-ac1aff68c56e_Name">
    <vt:lpwstr>Confidential v1</vt:lpwstr>
  </property>
  <property fmtid="{D5CDD505-2E9C-101B-9397-08002B2CF9AE}" pid="6" name="MSIP_Label_07f119e6-c6cd-44b0-a5ee-ac1aff68c56e_SiteId">
    <vt:lpwstr>e29b8111-49f8-418d-ac2a-935335a52614</vt:lpwstr>
  </property>
  <property fmtid="{D5CDD505-2E9C-101B-9397-08002B2CF9AE}" pid="7" name="MSIP_Label_07f119e6-c6cd-44b0-a5ee-ac1aff68c56e_ActionId">
    <vt:lpwstr>c1cd777b-567b-44ca-973a-be95e37801b3</vt:lpwstr>
  </property>
  <property fmtid="{D5CDD505-2E9C-101B-9397-08002B2CF9AE}" pid="8" name="MSIP_Label_07f119e6-c6cd-44b0-a5ee-ac1aff68c56e_ContentBits">
    <vt:lpwstr>0</vt:lpwstr>
  </property>
  <property fmtid="{D5CDD505-2E9C-101B-9397-08002B2CF9AE}" pid="9" name="MSIP_Label_07f119e6-c6cd-44b0-a5ee-ac1aff68c56e_Tag">
    <vt:lpwstr>10, 3, 0, 1</vt:lpwstr>
  </property>
</Properties>
</file>